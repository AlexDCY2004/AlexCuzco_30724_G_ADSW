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z Ckeck LIst" sheetId="1" r:id="rId4"/>
    <sheet state="visible" name="MODELO LISTA DE COMPROBACION CU" sheetId="2" r:id="rId5"/>
    <sheet state="visible" name="Hoja 1" sheetId="3" r:id="rId6"/>
    <sheet state="visible" name="Hoja 2" sheetId="4" r:id="rId7"/>
    <sheet state="visible" name="RECOMENDACIONES" sheetId="5" r:id="rId8"/>
  </sheets>
  <definedNames/>
  <calcPr/>
  <extLst>
    <ext uri="GoogleSheetsCustomDataVersion2">
      <go:sheetsCustomData xmlns:go="http://customooxmlschemas.google.com/" r:id="rId9" roundtripDataChecksum="ALWYo6nnjX3wocvkjnVAoPC1UOI93Tq/33vQSAE/CZ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9">
      <text>
        <t xml:space="preserve">======
ID#AAAB5ZYFUrI
ESPE    (2026-04-14 17:28:59)
COMPLETITUD REQUISITO INDIVIDUAL</t>
      </text>
    </comment>
    <comment authorId="0" ref="B11">
      <text>
        <t xml:space="preserve">======
ID#AAAB5YuXXAY
ESPE    (2026-04-14 17:28:59)
trazabilidad</t>
      </text>
    </comment>
    <comment authorId="0" ref="B13">
      <text>
        <t xml:space="preserve">======
ID#AAAB5YuXXAI
ESPE    (2026-04-14 17:28:59)
CORRECCION</t>
      </text>
    </comment>
    <comment authorId="0" ref="B10">
      <text>
        <t xml:space="preserve">======
ID#AAAB5YuXXAM
ESPE    (2026-04-14 17:28:59)
TRAZABILIDAD</t>
      </text>
    </comment>
    <comment authorId="0" ref="B8">
      <text>
        <t xml:space="preserve">======
ID#AAAB5YuXW_0
ESPE    (2026-04-14 17:28:59)
COMPLETITUD DOCUMENTO</t>
      </text>
    </comment>
    <comment authorId="0" ref="B12">
      <text>
        <t xml:space="preserve">======
ID#AAAB5YuXW_4
ESPE    (2026-04-14 17:28:59)
TRAZABILIDAD</t>
      </text>
    </comment>
    <comment authorId="0" ref="B15">
      <text>
        <t xml:space="preserve">======
ID#AAAB5YuXW_k
ESPE    (2026-04-14 17:28:59)
NECESIDAD</t>
      </text>
    </comment>
    <comment authorId="0" ref="B14">
      <text>
        <t xml:space="preserve">======
ID#AAAB5YuXW_o
ESPE    (2026-04-14 17:28:59)
CONSISTENCIA</t>
      </text>
    </comment>
    <comment authorId="0" ref="B16">
      <text>
        <t xml:space="preserve">======
ID#AAAB5YuXW_Y
ESPE    (2026-04-14 17:28:59)
verificable</t>
      </text>
    </comment>
  </commentList>
  <extLst>
    <ext uri="GoogleSheetsCustomDataVersion2">
      <go:sheetsCustomData xmlns:go="http://customooxmlschemas.google.com/" r:id="rId1" roundtripDataSignature="AMtx7mieHQeQfmMzIotb4efntZFBPwwaxQ=="/>
    </ext>
  </extLst>
</comments>
</file>

<file path=xl/sharedStrings.xml><?xml version="1.0" encoding="utf-8"?>
<sst xmlns="http://schemas.openxmlformats.org/spreadsheetml/2006/main" count="306" uniqueCount="88">
  <si>
    <t>MATRIZ PARA COMPROBACIÓN REQUERIMIENTOS DE CALIDAD DE PROYECTO ACADEMICO</t>
  </si>
  <si>
    <t>SISTEMA:</t>
  </si>
  <si>
    <t xml:space="preserve">Sistema de planificación y seguimiento de eventos sociales y deportivos del Club de Suboficiales Retirados (EVENTUAL) </t>
  </si>
  <si>
    <t>Requerimientos  Funcionales</t>
  </si>
  <si>
    <t>Nº</t>
  </si>
  <si>
    <t>CRITERIOS DE CALIDAD (Documento/Requerimientos)</t>
  </si>
  <si>
    <t>Status
Nivel de Acuerdo</t>
  </si>
  <si>
    <t xml:space="preserve">
CU001 Acceso al software
</t>
  </si>
  <si>
    <t>CU002 Generar reportes</t>
  </si>
  <si>
    <t>CU003 Consultar Calendario de Eventos</t>
  </si>
  <si>
    <t>Agreed</t>
  </si>
  <si>
    <t>OK</t>
  </si>
  <si>
    <t>1. Videoconferencia de la entrevista
2. Minuta de la entrevista
3. Aceptación por videoconferencia</t>
  </si>
  <si>
    <t>Ranked</t>
  </si>
  <si>
    <t>1. En la descripción del caso de Uso se especifica la prioridad Alta</t>
  </si>
  <si>
    <t>NOK</t>
  </si>
  <si>
    <t>Se define como una prioridad baja, algo que resulta malo, porque el generar reportes debería ser ´primordial en el sistema.</t>
  </si>
  <si>
    <t>1. En la descripción del caso de Uso se especifica la prioridad Media, algo que estaría incorrecto pues que el sistema justamente esta especializado en la organización de eventos, por tanto la prioridad es alta para los usuarios.</t>
  </si>
  <si>
    <t>Unambiguos</t>
  </si>
  <si>
    <t xml:space="preserve">1.  Redacción en lenguaje claro.                                                                               2. El tutor y el equipo interpretan de igual manera el caso de uso </t>
  </si>
  <si>
    <t>Valid and up-to date</t>
  </si>
  <si>
    <t>1. Toda nueva información ha sido incorporada, se han incorporado los últimos cambios pedidos luego del feedback realizado por el cliente</t>
  </si>
  <si>
    <t>Correct</t>
  </si>
  <si>
    <t>1. Está alineado con los objetivos del sistema.                                                                                                                                                                                                                        2. Refleja lo que realmente necesita el cliente.</t>
  </si>
  <si>
    <t xml:space="preserve">OK </t>
  </si>
  <si>
    <t>Consisten</t>
  </si>
  <si>
    <t xml:space="preserve">1. Documentación basada en modelos: Diagrama de Casos de Uso
2. Usa términos definidos previamente.                                             </t>
  </si>
  <si>
    <t>Verifiable</t>
  </si>
  <si>
    <t>1. El requisito aún no es verificable porque no tiene definidos criterios de aceptación ni casos de prueba asociados.</t>
  </si>
  <si>
    <t>Realizable</t>
  </si>
  <si>
    <t>1. Funcionalidad tomada en cuenta dentro de la estimación del costo del proyecto ($1827)
2. No se ha desarrollado</t>
  </si>
  <si>
    <t>Traceable</t>
  </si>
  <si>
    <t>1. Es claro el origen del requisito y sus relaciones con otros requisitos (matriz de trazabilidad cliente/casos de uso y casos de uso/casos de uso) 
2. Cuenta con un identificador único</t>
  </si>
  <si>
    <t>Complete</t>
  </si>
  <si>
    <t>1. Contiene toda la información necesaria (entradas, salidas, precondiciones, postcondiciones) para entender y diseñar la función. 
2. Describe completamente la funcionalidad esperada.</t>
  </si>
  <si>
    <t>Understandability</t>
  </si>
  <si>
    <t>1. Se involucra al cliente
2. Existe glosario de términos</t>
  </si>
  <si>
    <t>FECHA:</t>
  </si>
  <si>
    <t>AUTOR:</t>
  </si>
  <si>
    <t>Alex Cuzco</t>
  </si>
  <si>
    <t>REQUERIMIENTOS EVALUADOS :</t>
  </si>
  <si>
    <t>CU001 Acceso al software</t>
  </si>
  <si>
    <t>CONTENIDO</t>
  </si>
  <si>
    <t>No.</t>
  </si>
  <si>
    <t>Pregunta</t>
  </si>
  <si>
    <t>SI</t>
  </si>
  <si>
    <t xml:space="preserve">NO </t>
  </si>
  <si>
    <t>Todos los requerimientos relevantes se han documentado?</t>
  </si>
  <si>
    <t>X</t>
  </si>
  <si>
    <t>Se han implementado las funciones requeridas?</t>
  </si>
  <si>
    <t xml:space="preserve"> Existe algún mecanismo que permita seguir el impacto de dicho requerimiento a lo largo del resto de las actividades del ciclo productivo.?</t>
  </si>
  <si>
    <t>El origen de cada requerimento individual está claro ?</t>
  </si>
  <si>
    <t>Que tan facil es devolverse a los requerimientos?</t>
  </si>
  <si>
    <t xml:space="preserve"> Los requerimientos reflejan las necesidades y deseos del cliente?</t>
  </si>
  <si>
    <t>No hay contradicciones entre los requerimientos?</t>
  </si>
  <si>
    <t>El requerimiento que se esta especificando contribuye a alcanzar un objetivo definido ?</t>
  </si>
  <si>
    <t>Existe un proceso acotado (en plazo y presupuesto) que permita determinar que el sistema construido satisface lo descrito en el propio requerimiento?</t>
  </si>
  <si>
    <t>SUMATORIA:</t>
  </si>
  <si>
    <t>PORCENTAJE :</t>
  </si>
  <si>
    <t>DOCUMENTACIÓN</t>
  </si>
  <si>
    <t>Aplica un estandar para la documetación de requerimiento?</t>
  </si>
  <si>
    <t>Cumple con la estructura definida por el estandar?</t>
  </si>
  <si>
    <t>Utiliza un Glosario de términos normalizado?</t>
  </si>
  <si>
    <t>Los requerimientos Funcionales estan sujetos a una única interpretación?</t>
  </si>
  <si>
    <t>x</t>
  </si>
  <si>
    <t>El modelo aplicado cumple con la sintaxis?</t>
  </si>
  <si>
    <t>NIVEL DE ACUERDO</t>
  </si>
  <si>
    <t>Todos los requerimientos  han sido acordados con todos los interesados?</t>
  </si>
  <si>
    <t>Todos los requerimientos  modificados han sido acordados por todos los implicados?</t>
  </si>
  <si>
    <t>Han sido resueltos todos los conflictos conocidos respectos de los requerimientos?</t>
  </si>
  <si>
    <t>RESUMEN</t>
  </si>
  <si>
    <t xml:space="preserve">CONTENIDO </t>
  </si>
  <si>
    <t>Pablo Domínguez</t>
  </si>
  <si>
    <t>Dylan Alvarado</t>
  </si>
  <si>
    <t>CU001 Acceso al Software</t>
  </si>
  <si>
    <t>PREGUNTA</t>
  </si>
  <si>
    <t>RECOMENDACIÓN</t>
  </si>
  <si>
    <t>¿El caso de uso puede verificarse mediante pruebas?</t>
  </si>
  <si>
    <t>Incorporar casos de prueba y criterios de aceptación que permitan validar el comportamiento del login.</t>
  </si>
  <si>
    <t>CU002 Generar Reportes</t>
  </si>
  <si>
    <t>¿Se han validado y aprobado formalmente todos los entregables de la entrevista (videoconferencia, minuta, acta de aceptación)?</t>
  </si>
  <si>
    <t>Sí, los entregables de la entrevista, incluyendo la videoconferencia, minuta y acta de aceptación, han sido validados y aprobados formalmente por los interesados.</t>
  </si>
  <si>
    <t>¿Se han definido criterios de aceptación y casos de prueba
 que permitan medir objetivamente el cumplimiento del 
requisito?</t>
  </si>
  <si>
    <t>Sí, se han definido criterios de aceptación y casos de prueba que permiten verificar de manera objetiva el correcto funcionamiento del proceso de autenticación y control de acceso.</t>
  </si>
  <si>
    <t>¿Es necesario que los casos de uso puede verificarse mediante pruebas?</t>
  </si>
  <si>
    <t>Incorporar casos de prueba y criterios de aceptación que permitan a los usuarios observar de manera adecuada el calendario de los evetos actuales y futuros.</t>
  </si>
  <si>
    <t>¿La prioridad del caso de uso está correctamente definida?</t>
  </si>
  <si>
    <t>Ajustar la prioridad a alta, debido a que es una funcionalidad esencial para los usuarios del sistema.</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</si>
</sst>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sz val="8.0"/>
      <color theme="1"/>
      <name val="Arial"/>
    </font>
    <font>
      <b/>
      <sz val="18.0"/>
      <color rgb="FF1F497D"/>
      <name val="Calibri"/>
    </font>
    <font/>
    <font>
      <b/>
      <sz val="18.0"/>
      <color theme="1"/>
      <name val="Calibri"/>
    </font>
    <font>
      <b/>
      <sz val="18.0"/>
      <color theme="1"/>
      <name val="Arial"/>
    </font>
    <font>
      <b/>
      <sz val="12.0"/>
      <color theme="1"/>
      <name val="Arial"/>
    </font>
    <font>
      <b/>
      <sz val="11.0"/>
      <color theme="1"/>
      <name val="Arial"/>
    </font>
    <font>
      <sz val="11.0"/>
      <color theme="1"/>
      <name val="Calibri"/>
    </font>
    <font>
      <b/>
      <sz val="16.0"/>
      <color theme="0"/>
      <name val="Calibri"/>
    </font>
    <font>
      <b/>
      <sz val="16.0"/>
      <color theme="1"/>
      <name val="Calibri"/>
    </font>
    <font>
      <b/>
      <sz val="12.0"/>
      <color rgb="FFFFFFFF"/>
      <name val="Calibri"/>
    </font>
    <font>
      <b/>
      <sz val="16.0"/>
      <color rgb="FFFFFFFF"/>
      <name val="Calibri"/>
    </font>
    <font>
      <b/>
      <sz val="14.0"/>
      <color theme="1"/>
      <name val="Calibri"/>
    </font>
    <font>
      <sz val="14.0"/>
      <color theme="1"/>
      <name val="Calibri"/>
    </font>
    <font>
      <b/>
      <sz val="18.0"/>
      <color rgb="FFFA7D00"/>
      <name val="Calibri"/>
    </font>
    <font>
      <b/>
      <sz val="11.0"/>
      <color rgb="FF000000"/>
      <name val="Calibri"/>
    </font>
    <font>
      <b/>
      <sz val="11.0"/>
      <color theme="1"/>
      <name val="Calibri"/>
    </font>
  </fonts>
  <fills count="9">
    <fill>
      <patternFill patternType="none"/>
    </fill>
    <fill>
      <patternFill patternType="lightGray"/>
    </fill>
    <fill>
      <patternFill patternType="solid">
        <fgColor rgb="FFD8D8D8"/>
        <bgColor rgb="FFD8D8D8"/>
      </patternFill>
    </fill>
    <fill>
      <patternFill patternType="solid">
        <fgColor theme="4"/>
        <bgColor theme="4"/>
      </patternFill>
    </fill>
    <fill>
      <patternFill patternType="solid">
        <fgColor rgb="FF92D050"/>
        <bgColor rgb="FF92D050"/>
      </patternFill>
    </fill>
    <fill>
      <patternFill patternType="solid">
        <fgColor rgb="FFFF0000"/>
        <bgColor rgb="FFFF0000"/>
      </patternFill>
    </fill>
    <fill>
      <patternFill patternType="solid">
        <fgColor rgb="FFB8CCE4"/>
        <bgColor rgb="FFB8CCE4"/>
      </patternFill>
    </fill>
    <fill>
      <patternFill patternType="solid">
        <fgColor theme="0"/>
        <bgColor theme="0"/>
      </patternFill>
    </fill>
    <fill>
      <patternFill patternType="solid">
        <fgColor rgb="FFC2D69B"/>
        <bgColor rgb="FFC2D69B"/>
      </patternFill>
    </fill>
  </fills>
  <borders count="1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left/>
      <right style="thin">
        <color rgb="FF000000"/>
      </right>
      <top/>
      <bottom style="thin">
        <color rgb="FF000000"/>
      </bottom>
    </border>
    <border>
      <left/>
      <right style="thin">
        <color rgb="FF000000"/>
      </right>
      <top style="thin">
        <color rgb="FF000000"/>
      </top>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Alignment="1" applyFont="1">
      <alignment horizontal="center"/>
    </xf>
    <xf borderId="1" fillId="0" fontId="2" numFmtId="0" xfId="0" applyAlignment="1" applyBorder="1" applyFont="1">
      <alignment horizontal="center" shrinkToFit="0" vertical="center" wrapText="1"/>
    </xf>
    <xf borderId="2" fillId="0" fontId="3" numFmtId="0" xfId="0" applyBorder="1" applyFont="1"/>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4" numFmtId="0" xfId="0" applyAlignment="1" applyBorder="1" applyFont="1">
      <alignment horizontal="center" shrinkToFit="0" vertical="center" wrapText="1"/>
    </xf>
    <xf borderId="8" fillId="0" fontId="3" numFmtId="0" xfId="0" applyBorder="1" applyFont="1"/>
    <xf borderId="9" fillId="0" fontId="3" numFmtId="0" xfId="0" applyBorder="1" applyFont="1"/>
    <xf borderId="7" fillId="0" fontId="4" numFmtId="0" xfId="0" applyAlignment="1" applyBorder="1" applyFont="1">
      <alignment horizontal="left" readingOrder="0" shrinkToFit="0" vertical="center" wrapText="1"/>
    </xf>
    <xf borderId="7" fillId="2" fontId="5" numFmtId="0" xfId="0" applyAlignment="1" applyBorder="1" applyFill="1" applyFont="1">
      <alignment horizontal="center" vertical="center"/>
    </xf>
    <xf borderId="10" fillId="2" fontId="6" numFmtId="0" xfId="0" applyAlignment="1" applyBorder="1" applyFont="1">
      <alignment horizontal="center" shrinkToFit="0" vertical="center" wrapText="1"/>
    </xf>
    <xf borderId="1" fillId="2" fontId="6" numFmtId="0" xfId="0" applyAlignment="1" applyBorder="1" applyFont="1">
      <alignment horizontal="center" shrinkToFit="0" vertical="center" wrapText="1"/>
    </xf>
    <xf borderId="10" fillId="2" fontId="7" numFmtId="0" xfId="0" applyAlignment="1" applyBorder="1" applyFont="1">
      <alignment horizontal="center" shrinkToFit="0" vertical="center" wrapText="1"/>
    </xf>
    <xf borderId="10" fillId="2" fontId="6" numFmtId="0" xfId="0" applyAlignment="1" applyBorder="1" applyFont="1">
      <alignment horizontal="center" readingOrder="0" shrinkToFit="0" vertical="center" wrapText="1"/>
    </xf>
    <xf borderId="11" fillId="0" fontId="8" numFmtId="0" xfId="0" applyBorder="1" applyFont="1"/>
    <xf borderId="12" fillId="0" fontId="3" numFmtId="0" xfId="0" applyBorder="1" applyFont="1"/>
    <xf borderId="13" fillId="3" fontId="9" numFmtId="0" xfId="0" applyAlignment="1" applyBorder="1" applyFill="1" applyFont="1">
      <alignment horizontal="center" shrinkToFit="0" vertical="center" wrapText="1"/>
    </xf>
    <xf borderId="7" fillId="3" fontId="9" numFmtId="0" xfId="0" applyAlignment="1" applyBorder="1" applyFont="1">
      <alignment horizontal="center" shrinkToFit="0" vertical="center" wrapText="1"/>
    </xf>
    <xf borderId="11" fillId="4" fontId="10" numFmtId="0" xfId="0" applyAlignment="1" applyBorder="1" applyFill="1" applyFont="1">
      <alignment horizontal="center" shrinkToFit="0" vertical="center" wrapText="1"/>
    </xf>
    <xf borderId="14" fillId="3" fontId="11" numFmtId="0" xfId="0" applyAlignment="1" applyBorder="1" applyFont="1">
      <alignment horizontal="left" shrinkToFit="0" vertical="center" wrapText="1"/>
    </xf>
    <xf borderId="11" fillId="4" fontId="10" numFmtId="0" xfId="0" applyAlignment="1" applyBorder="1" applyFont="1">
      <alignment horizontal="center" readingOrder="0" shrinkToFit="0" vertical="center" wrapText="1"/>
    </xf>
    <xf borderId="0" fillId="0" fontId="8" numFmtId="0" xfId="0" applyFont="1"/>
    <xf borderId="11" fillId="3" fontId="11" numFmtId="0" xfId="0" applyAlignment="1" applyBorder="1" applyFont="1">
      <alignment shrinkToFit="0" vertical="center" wrapText="1"/>
    </xf>
    <xf borderId="11" fillId="5" fontId="10" numFmtId="0" xfId="0" applyAlignment="1" applyBorder="1" applyFill="1" applyFont="1">
      <alignment horizontal="center" readingOrder="0" shrinkToFit="0" vertical="center" wrapText="1"/>
    </xf>
    <xf borderId="11" fillId="3" fontId="11" numFmtId="0" xfId="0" applyAlignment="1" applyBorder="1" applyFont="1">
      <alignment readingOrder="0" shrinkToFit="0" vertical="center" wrapText="1"/>
    </xf>
    <xf borderId="11" fillId="3" fontId="11" numFmtId="0" xfId="0" applyAlignment="1" applyBorder="1" applyFont="1">
      <alignment horizontal="left" shrinkToFit="0" vertical="center" wrapText="1"/>
    </xf>
    <xf borderId="7" fillId="3" fontId="12" numFmtId="0" xfId="0" applyAlignment="1" applyBorder="1" applyFont="1">
      <alignment horizontal="center" readingOrder="0" shrinkToFit="0" vertical="center" wrapText="1"/>
    </xf>
    <xf borderId="11" fillId="3" fontId="11" numFmtId="0" xfId="0" applyAlignment="1" applyBorder="1" applyFont="1">
      <alignment horizontal="left" readingOrder="0" shrinkToFit="0" vertical="center" wrapText="1"/>
    </xf>
    <xf borderId="15" fillId="3" fontId="11" numFmtId="0" xfId="0" applyAlignment="1" applyBorder="1" applyFont="1">
      <alignment horizontal="left" shrinkToFit="0" vertical="center" wrapText="1"/>
    </xf>
    <xf borderId="7" fillId="0" fontId="13" numFmtId="0" xfId="0" applyAlignment="1" applyBorder="1" applyFont="1">
      <alignment horizontal="left" vertical="top"/>
    </xf>
    <xf borderId="7" fillId="0" fontId="14" numFmtId="0" xfId="0" applyAlignment="1" applyBorder="1" applyFont="1">
      <alignment horizontal="left" readingOrder="0" shrinkToFit="0" vertical="top" wrapText="1"/>
    </xf>
    <xf borderId="0" fillId="0" fontId="8" numFmtId="0" xfId="0" applyAlignment="1" applyFont="1">
      <alignment vertical="top"/>
    </xf>
    <xf borderId="7" fillId="0" fontId="13" numFmtId="0" xfId="0" applyAlignment="1" applyBorder="1" applyFont="1">
      <alignment horizontal="left"/>
    </xf>
    <xf borderId="7" fillId="0" fontId="14" numFmtId="15" xfId="0" applyAlignment="1" applyBorder="1" applyFont="1" applyNumberFormat="1">
      <alignment horizontal="left" readingOrder="0" shrinkToFit="0" wrapText="1"/>
    </xf>
    <xf borderId="7" fillId="0" fontId="14" numFmtId="0" xfId="0" applyAlignment="1" applyBorder="1" applyFont="1">
      <alignment horizontal="left" readingOrder="0" shrinkToFit="0" wrapText="1"/>
    </xf>
    <xf borderId="7" fillId="0" fontId="15" numFmtId="0" xfId="0" applyAlignment="1" applyBorder="1" applyFont="1">
      <alignment horizontal="center" vertical="center"/>
    </xf>
    <xf borderId="11" fillId="6" fontId="14" numFmtId="0" xfId="0" applyAlignment="1" applyBorder="1" applyFill="1" applyFont="1">
      <alignment horizontal="center" vertical="center"/>
    </xf>
    <xf borderId="11" fillId="0" fontId="8" numFmtId="0" xfId="0" applyAlignment="1" applyBorder="1" applyFont="1">
      <alignment horizontal="center" vertical="center"/>
    </xf>
    <xf borderId="11" fillId="0" fontId="8" numFmtId="0" xfId="0" applyAlignment="1" applyBorder="1" applyFont="1">
      <alignment shrinkToFit="0" wrapText="1"/>
    </xf>
    <xf borderId="11" fillId="7" fontId="8" numFmtId="0" xfId="0" applyAlignment="1" applyBorder="1" applyFill="1" applyFont="1">
      <alignment horizontal="center" readingOrder="0" vertical="center"/>
    </xf>
    <xf borderId="11" fillId="0" fontId="8" numFmtId="0" xfId="0" applyAlignment="1" applyBorder="1" applyFont="1">
      <alignment horizontal="center" readingOrder="0" vertical="center"/>
    </xf>
    <xf borderId="7" fillId="0" fontId="13" numFmtId="0" xfId="0" applyAlignment="1" applyBorder="1" applyFont="1">
      <alignment horizontal="left" vertical="center"/>
    </xf>
    <xf borderId="11" fillId="0" fontId="8" numFmtId="9" xfId="0" applyBorder="1" applyFont="1" applyNumberFormat="1"/>
    <xf borderId="0" fillId="0" fontId="13" numFmtId="0" xfId="0" applyAlignment="1" applyFont="1">
      <alignment horizontal="left" vertical="center"/>
    </xf>
    <xf borderId="0" fillId="0" fontId="8" numFmtId="9" xfId="0" applyFont="1" applyNumberFormat="1"/>
    <xf borderId="11" fillId="0" fontId="13" numFmtId="0" xfId="0" applyAlignment="1" applyBorder="1" applyFont="1">
      <alignment horizontal="center" vertical="center"/>
    </xf>
    <xf borderId="11" fillId="0" fontId="10" numFmtId="0" xfId="0" applyAlignment="1" applyBorder="1" applyFont="1">
      <alignment horizontal="center" vertical="center"/>
    </xf>
    <xf borderId="7" fillId="0" fontId="13" numFmtId="0" xfId="0" applyAlignment="1" applyBorder="1" applyFont="1">
      <alignment horizontal="center"/>
    </xf>
    <xf borderId="11" fillId="0" fontId="8" numFmtId="0" xfId="0" applyAlignment="1" applyBorder="1" applyFont="1">
      <alignment vertical="top"/>
    </xf>
    <xf borderId="11" fillId="0" fontId="8" numFmtId="0" xfId="0" applyAlignment="1" applyBorder="1" applyFont="1">
      <alignment readingOrder="0"/>
    </xf>
    <xf borderId="0" fillId="0" fontId="13" numFmtId="0" xfId="0" applyAlignment="1" applyFont="1">
      <alignment horizontal="center"/>
    </xf>
    <xf borderId="0" fillId="0" fontId="8" numFmtId="0" xfId="0" applyAlignment="1" applyFont="1">
      <alignment readingOrder="0"/>
    </xf>
    <xf borderId="0" fillId="8" fontId="16" numFmtId="0" xfId="0" applyAlignment="1" applyFill="1" applyFont="1">
      <alignment horizontal="center" readingOrder="0" vertical="center"/>
    </xf>
    <xf borderId="11" fillId="8" fontId="16" numFmtId="0" xfId="0" applyAlignment="1" applyBorder="1" applyFont="1">
      <alignment horizontal="center" vertical="center"/>
    </xf>
    <xf borderId="11" fillId="0" fontId="8" numFmtId="0" xfId="0" applyAlignment="1" applyBorder="1" applyFont="1">
      <alignment readingOrder="0" shrinkToFit="0" wrapText="1"/>
    </xf>
    <xf borderId="11" fillId="8" fontId="17" numFmtId="0" xfId="0" applyAlignment="1" applyBorder="1" applyFont="1">
      <alignment horizontal="center" readingOrder="0" vertical="center"/>
    </xf>
    <xf borderId="11" fillId="8" fontId="16" numFmtId="0" xfId="0" applyAlignment="1" applyBorder="1" applyFont="1">
      <alignment horizontal="center" readingOrder="0" vertical="center"/>
    </xf>
    <xf borderId="11" fillId="0" fontId="8" numFmtId="0" xfId="0" applyAlignment="1" applyBorder="1" applyFont="1">
      <alignment shrinkToFit="0" wrapText="1"/>
    </xf>
  </cellXfs>
  <cellStyles count="1">
    <cellStyle xfId="0" name="Normal" builtinId="0"/>
  </cellStyles>
  <dxfs count="13">
    <dxf>
      <font/>
      <fill>
        <patternFill patternType="none"/>
      </fill>
      <border/>
    </dxf>
    <dxf>
      <font/>
      <fill>
        <patternFill patternType="solid">
          <fgColor theme="0"/>
          <bgColor theme="0"/>
        </patternFill>
      </fill>
      <border/>
    </dxf>
    <dxf>
      <font/>
      <fill>
        <patternFill patternType="solid">
          <fgColor rgb="FFD8D8D8"/>
          <bgColor rgb="FFD8D8D8"/>
        </patternFill>
      </fill>
      <border/>
    </dxf>
    <dxf>
      <font/>
      <fill>
        <patternFill patternType="solid">
          <fgColor rgb="FFB8CCE4"/>
          <bgColor rgb="FFB8CCE4"/>
        </patternFill>
      </fill>
      <border/>
    </dxf>
    <dxf>
      <font/>
      <fill>
        <patternFill patternType="solid">
          <fgColor theme="6"/>
          <bgColor theme="6"/>
        </patternFill>
      </fill>
      <border/>
    </dxf>
    <dxf>
      <font/>
      <fill>
        <patternFill patternType="solid">
          <fgColor rgb="FFEAF1DD"/>
          <bgColor rgb="FFEAF1DD"/>
        </patternFill>
      </fill>
      <border/>
    </dxf>
    <dxf>
      <font/>
      <fill>
        <patternFill patternType="solid">
          <fgColor theme="9"/>
          <bgColor theme="9"/>
        </patternFill>
      </fill>
      <border/>
    </dxf>
    <dxf>
      <font/>
      <fill>
        <patternFill patternType="solid">
          <fgColor rgb="FFFDE9D9"/>
          <bgColor rgb="FFFDE9D9"/>
        </patternFill>
      </fill>
      <border/>
    </dxf>
    <dxf>
      <font/>
      <fill>
        <patternFill patternType="solid">
          <fgColor rgb="FFFFC7CE"/>
          <bgColor rgb="FFFFC7CE"/>
        </patternFill>
      </fill>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
      <font>
        <b/>
      </font>
      <fill>
        <patternFill patternType="solid">
          <fgColor rgb="FFFF0000"/>
          <bgColor rgb="FFFF0000"/>
        </patternFill>
      </fill>
      <border/>
    </dxf>
    <dxf>
      <font>
        <color rgb="FFFF0000"/>
      </font>
      <fill>
        <patternFill patternType="none"/>
      </fill>
      <border/>
    </dxf>
  </dxfs>
  <tableStyles count="9">
    <tableStyle count="3" pivot="0" name="MODELO LISTA DE COMPROBACION CU-style">
      <tableStyleElement dxfId="1" type="headerRow"/>
      <tableStyleElement dxfId="2" type="firstRowStripe"/>
      <tableStyleElement dxfId="3" type="secondRowStripe"/>
    </tableStyle>
    <tableStyle count="3" pivot="0" name="MODELO LISTA DE COMPROBACION CU-style 2">
      <tableStyleElement dxfId="4" type="headerRow"/>
      <tableStyleElement dxfId="5" type="firstRowStripe"/>
      <tableStyleElement dxfId="3" type="secondRowStripe"/>
    </tableStyle>
    <tableStyle count="3" pivot="0" name="MODELO LISTA DE COMPROBACION CU-style 3">
      <tableStyleElement dxfId="6" type="headerRow"/>
      <tableStyleElement dxfId="7" type="firstRowStripe"/>
      <tableStyleElement dxfId="3" type="secondRowStripe"/>
    </tableStyle>
    <tableStyle count="3" pivot="0" name="Hoja 1-style">
      <tableStyleElement dxfId="1" type="headerRow"/>
      <tableStyleElement dxfId="2" type="firstRowStripe"/>
      <tableStyleElement dxfId="3" type="secondRowStripe"/>
    </tableStyle>
    <tableStyle count="3" pivot="0" name="Hoja 1-style 2">
      <tableStyleElement dxfId="4" type="headerRow"/>
      <tableStyleElement dxfId="5" type="firstRowStripe"/>
      <tableStyleElement dxfId="3" type="secondRowStripe"/>
    </tableStyle>
    <tableStyle count="3" pivot="0" name="Hoja 1-style 3">
      <tableStyleElement dxfId="6" type="headerRow"/>
      <tableStyleElement dxfId="7" type="firstRowStripe"/>
      <tableStyleElement dxfId="3" type="secondRowStripe"/>
    </tableStyle>
    <tableStyle count="3" pivot="0" name="Hoja 2-style">
      <tableStyleElement dxfId="1" type="headerRow"/>
      <tableStyleElement dxfId="2" type="firstRowStripe"/>
      <tableStyleElement dxfId="3" type="secondRowStripe"/>
    </tableStyle>
    <tableStyle count="3" pivot="0" name="Hoja 2-style 2">
      <tableStyleElement dxfId="4" type="headerRow"/>
      <tableStyleElement dxfId="5" type="firstRowStripe"/>
      <tableStyleElement dxfId="3" type="secondRowStripe"/>
    </tableStyle>
    <tableStyle count="3" pivot="0" name="Hoja 2-style 3">
      <tableStyleElement dxfId="6" type="headerRow"/>
      <tableStyleElement dxfId="7"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CRITERIO DE CALIDAD </a:t>
            </a:r>
          </a:p>
        </c:rich>
      </c:tx>
      <c:layout>
        <c:manualLayout>
          <c:xMode val="edge"/>
          <c:yMode val="edge"/>
          <c:x val="0.3094930008748907"/>
          <c:y val="0.06018518518518518"/>
        </c:manualLayout>
      </c:layout>
      <c:overlay val="0"/>
    </c:title>
    <c:view3D>
      <c:rotX val="50"/>
      <c:perspective val="0"/>
    </c:view3D>
    <c:plotArea>
      <c:layout/>
      <c:pie3DChart>
        <c:varyColors val="1"/>
        <c:ser>
          <c:idx val="0"/>
          <c:order val="0"/>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1"/>
            <c:showBubbleSize val="0"/>
            <c:showLeaderLines val="1"/>
          </c:dLbls>
          <c:cat>
            <c:strRef>
              <c:f>'MODELO LISTA DE COMPROBACION CU'!$B$41:$B$43</c:f>
            </c:strRef>
          </c:cat>
          <c:val>
            <c:numRef>
              <c:f>'MODELO LISTA DE COMPROBACION CU'!$C$41:$C$43</c:f>
              <c:numCache/>
            </c:numRef>
          </c:val>
        </c:ser>
        <c:dLbls>
          <c:showLegendKey val="0"/>
          <c:showVal val="0"/>
          <c:showCatName val="0"/>
          <c:showSerName val="0"/>
          <c:showPercent val="0"/>
          <c:showBubbleSize val="0"/>
        </c:dLbls>
      </c:pie3DChart>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CRITERIO DE CALIDAD </a:t>
            </a:r>
          </a:p>
        </c:rich>
      </c:tx>
      <c:layout>
        <c:manualLayout>
          <c:xMode val="edge"/>
          <c:yMode val="edge"/>
          <c:x val="0.3094930008748907"/>
          <c:y val="0.06018518518518518"/>
        </c:manualLayout>
      </c:layout>
      <c:overlay val="0"/>
    </c:title>
    <c:view3D>
      <c:rotX val="50"/>
      <c:perspective val="0"/>
    </c:view3D>
    <c:plotArea>
      <c:layout/>
      <c:pie3DChart>
        <c:varyColors val="1"/>
        <c:ser>
          <c:idx val="0"/>
          <c:order val="0"/>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1"/>
            <c:showBubbleSize val="0"/>
            <c:showLeaderLines val="1"/>
          </c:dLbls>
          <c:cat>
            <c:strRef>
              <c:f>'Hoja 1'!$B$41:$B$43</c:f>
            </c:strRef>
          </c:cat>
          <c:val>
            <c:numRef>
              <c:f>'Hoja 1'!$C$41:$C$43</c:f>
              <c:numCache/>
            </c:numRef>
          </c:val>
        </c:ser>
        <c:dLbls>
          <c:showLegendKey val="0"/>
          <c:showVal val="0"/>
          <c:showCatName val="0"/>
          <c:showSerName val="0"/>
          <c:showPercent val="0"/>
          <c:showBubbleSize val="0"/>
        </c:dLbls>
      </c:pie3DChart>
    </c:plotArea>
    <c:legend>
      <c:legendPos val="r"/>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CRITERIO DE CALIDAD</a:t>
            </a:r>
          </a:p>
        </c:rich>
      </c:tx>
      <c:overlay val="0"/>
    </c:title>
    <c:view3D>
      <c:rotX val="50"/>
      <c:perspective val="0"/>
    </c:view3D>
    <c:plotArea>
      <c:layout/>
      <c:pie3DChart>
        <c:varyColors val="1"/>
        <c:ser>
          <c:idx val="0"/>
          <c:order val="0"/>
          <c:tx>
            <c:strRef>
              <c:f>'Hoja 2'!$C$40</c:f>
            </c:strRef>
          </c:tx>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1"/>
            <c:showBubbleSize val="0"/>
            <c:showLeaderLines val="1"/>
          </c:dLbls>
          <c:cat>
            <c:strRef>
              <c:f>'Hoja 2'!$B$41:$B$43</c:f>
            </c:strRef>
          </c:cat>
          <c:val>
            <c:numRef>
              <c:f>'Hoja 2'!$C$41:$C$43</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s>
</file>

<file path=xl/drawings/_rels/drawing3.xml.rels><?xml version="1.0" encoding="UTF-8" standalone="yes"?><Relationships xmlns="http://schemas.openxmlformats.org/package/2006/relationships"><Relationship Id="rId1" Type="http://schemas.openxmlformats.org/officeDocument/2006/relationships/image" Target="../media/Chart2.png"/><Relationship Id="rId2"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media/Chart2.png"/><Relationship Id="rId2"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295275</xdr:colOff>
      <xdr:row>43</xdr:row>
      <xdr:rowOff>133350</xdr:rowOff>
    </xdr:from>
    <xdr:ext cx="4286250" cy="2143125"/>
    <xdr:graphicFrame>
      <xdr:nvGraphicFramePr>
        <xdr:cNvPr id="1650653329"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647700</xdr:colOff>
      <xdr:row>43</xdr:row>
      <xdr:rowOff>133350</xdr:rowOff>
    </xdr:from>
    <xdr:ext cx="4286250" cy="2143125"/>
    <xdr:pic>
      <xdr:nvPicPr>
        <xdr:cNvPr id="704550861" name="Chart2"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295275</xdr:colOff>
      <xdr:row>43</xdr:row>
      <xdr:rowOff>133350</xdr:rowOff>
    </xdr:from>
    <xdr:ext cx="4286250" cy="2143125"/>
    <xdr:pic>
      <xdr:nvPicPr>
        <xdr:cNvPr id="643172238" name="Chart3"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295275</xdr:colOff>
      <xdr:row>43</xdr:row>
      <xdr:rowOff>133350</xdr:rowOff>
    </xdr:from>
    <xdr:ext cx="4286250" cy="2143125"/>
    <xdr:graphicFrame>
      <xdr:nvGraphicFramePr>
        <xdr:cNvPr id="867596106" name="Chart 4"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295275</xdr:colOff>
      <xdr:row>43</xdr:row>
      <xdr:rowOff>133350</xdr:rowOff>
    </xdr:from>
    <xdr:ext cx="4286250" cy="2143125"/>
    <xdr:pic>
      <xdr:nvPicPr>
        <xdr:cNvPr id="1013561517" name="Chart5"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295275</xdr:colOff>
      <xdr:row>43</xdr:row>
      <xdr:rowOff>133350</xdr:rowOff>
    </xdr:from>
    <xdr:ext cx="4286250" cy="2143125"/>
    <xdr:pic>
      <xdr:nvPicPr>
        <xdr:cNvPr id="1395452967" name="Chart6"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295275</xdr:colOff>
      <xdr:row>43</xdr:row>
      <xdr:rowOff>133350</xdr:rowOff>
    </xdr:from>
    <xdr:ext cx="4286250" cy="2143125"/>
    <xdr:graphicFrame>
      <xdr:nvGraphicFramePr>
        <xdr:cNvPr id="214191694" name="Chart 7"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7:D16" displayName="Table_1" name="Table_1" id="1">
  <tableColumns count="4">
    <tableColumn name="No." id="1"/>
    <tableColumn name="Pregunta" id="2"/>
    <tableColumn name="SI" id="3"/>
    <tableColumn name="NO " id="4"/>
  </tableColumns>
  <tableStyleInfo name="MODELO LISTA DE COMPROBACION CU-style" showColumnStripes="0" showFirstColumn="1" showLastColumn="1" showRowStripes="1"/>
</table>
</file>

<file path=xl/tables/table2.xml><?xml version="1.0" encoding="utf-8"?>
<table xmlns="http://schemas.openxmlformats.org/spreadsheetml/2006/main" ref="A21:D26" displayName="Table_2" name="Table_2" id="2">
  <tableColumns count="4">
    <tableColumn name="No." id="1"/>
    <tableColumn name="Pregunta" id="2"/>
    <tableColumn name="SI" id="3"/>
    <tableColumn name="NO " id="4"/>
  </tableColumns>
  <tableStyleInfo name="MODELO LISTA DE COMPROBACION CU-style 2" showColumnStripes="0" showFirstColumn="1" showLastColumn="1" showRowStripes="1"/>
</table>
</file>

<file path=xl/tables/table3.xml><?xml version="1.0" encoding="utf-8"?>
<table xmlns="http://schemas.openxmlformats.org/spreadsheetml/2006/main" ref="A31:D34" displayName="Table_3" name="Table_3" id="3">
  <tableColumns count="4">
    <tableColumn name="No." id="1"/>
    <tableColumn name="Pregunta" id="2"/>
    <tableColumn name="SI" id="3"/>
    <tableColumn name="NO " id="4"/>
  </tableColumns>
  <tableStyleInfo name="MODELO LISTA DE COMPROBACION CU-style 3" showColumnStripes="0" showFirstColumn="1" showLastColumn="1" showRowStripes="1"/>
</table>
</file>

<file path=xl/tables/table4.xml><?xml version="1.0" encoding="utf-8"?>
<table xmlns="http://schemas.openxmlformats.org/spreadsheetml/2006/main" ref="A7:D16" displayName="Table_4" name="Table_4" id="4">
  <tableColumns count="4">
    <tableColumn name="No." id="1"/>
    <tableColumn name="Pregunta" id="2"/>
    <tableColumn name="SI" id="3"/>
    <tableColumn name="NO " id="4"/>
  </tableColumns>
  <tableStyleInfo name="Hoja 1-style" showColumnStripes="0" showFirstColumn="1" showLastColumn="1" showRowStripes="1"/>
</table>
</file>

<file path=xl/tables/table5.xml><?xml version="1.0" encoding="utf-8"?>
<table xmlns="http://schemas.openxmlformats.org/spreadsheetml/2006/main" ref="A21:D26" displayName="Table_5" name="Table_5" id="5">
  <tableColumns count="4">
    <tableColumn name="No." id="1"/>
    <tableColumn name="Pregunta" id="2"/>
    <tableColumn name="SI" id="3"/>
    <tableColumn name="NO " id="4"/>
  </tableColumns>
  <tableStyleInfo name="Hoja 1-style 2" showColumnStripes="0" showFirstColumn="1" showLastColumn="1" showRowStripes="1"/>
</table>
</file>

<file path=xl/tables/table6.xml><?xml version="1.0" encoding="utf-8"?>
<table xmlns="http://schemas.openxmlformats.org/spreadsheetml/2006/main" ref="A31:D34" displayName="Table_6" name="Table_6" id="6">
  <tableColumns count="4">
    <tableColumn name="No." id="1"/>
    <tableColumn name="Pregunta" id="2"/>
    <tableColumn name="SI" id="3"/>
    <tableColumn name="NO " id="4"/>
  </tableColumns>
  <tableStyleInfo name="Hoja 1-style 3" showColumnStripes="0" showFirstColumn="1" showLastColumn="1" showRowStripes="1"/>
</table>
</file>

<file path=xl/tables/table7.xml><?xml version="1.0" encoding="utf-8"?>
<table xmlns="http://schemas.openxmlformats.org/spreadsheetml/2006/main" ref="A7:D16" displayName="Table_7" name="Table_7" id="7">
  <tableColumns count="4">
    <tableColumn name="No." id="1"/>
    <tableColumn name="Pregunta" id="2"/>
    <tableColumn name="SI" id="3"/>
    <tableColumn name="NO " id="4"/>
  </tableColumns>
  <tableStyleInfo name="Hoja 2-style" showColumnStripes="0" showFirstColumn="1" showLastColumn="1" showRowStripes="1"/>
</table>
</file>

<file path=xl/tables/table8.xml><?xml version="1.0" encoding="utf-8"?>
<table xmlns="http://schemas.openxmlformats.org/spreadsheetml/2006/main" ref="A21:D26" displayName="Table_8" name="Table_8" id="8">
  <tableColumns count="4">
    <tableColumn name="No." id="1"/>
    <tableColumn name="Pregunta" id="2"/>
    <tableColumn name="SI" id="3"/>
    <tableColumn name="NO " id="4"/>
  </tableColumns>
  <tableStyleInfo name="Hoja 2-style 2" showColumnStripes="0" showFirstColumn="1" showLastColumn="1" showRowStripes="1"/>
</table>
</file>

<file path=xl/tables/table9.xml><?xml version="1.0" encoding="utf-8"?>
<table xmlns="http://schemas.openxmlformats.org/spreadsheetml/2006/main" ref="A31:D34" displayName="Table_9" name="Table_9" id="9">
  <tableColumns count="4">
    <tableColumn name="No." id="1"/>
    <tableColumn name="Pregunta" id="2"/>
    <tableColumn name="SI" id="3"/>
    <tableColumn name="NO " id="4"/>
  </tableColumns>
  <tableStyleInfo name="Hoja 2-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5" Type="http://schemas.openxmlformats.org/officeDocument/2006/relationships/table" Target="../tables/table4.xml"/><Relationship Id="rId6" Type="http://schemas.openxmlformats.org/officeDocument/2006/relationships/table" Target="../tables/table5.xml"/><Relationship Id="rId7"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5" Type="http://schemas.openxmlformats.org/officeDocument/2006/relationships/table" Target="../tables/table7.xml"/><Relationship Id="rId6" Type="http://schemas.openxmlformats.org/officeDocument/2006/relationships/table" Target="../tables/table8.xml"/><Relationship Id="rId7" Type="http://schemas.openxmlformats.org/officeDocument/2006/relationships/table" Target="../tables/table9.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57"/>
    <col customWidth="1" min="2" max="2" width="4.43"/>
    <col customWidth="1" min="3" max="3" width="3.71"/>
    <col customWidth="1" min="4" max="4" width="34.86"/>
    <col customWidth="1" min="5" max="5" width="9.71"/>
    <col customWidth="1" min="6" max="6" width="42.71"/>
    <col customWidth="1" min="7" max="7" width="10.14"/>
    <col customWidth="1" hidden="1" min="8" max="8" width="4.71"/>
    <col customWidth="1" min="9" max="9" width="42.71"/>
    <col customWidth="1" min="10" max="10" width="9.86"/>
    <col customWidth="1" min="11" max="11" width="54.0"/>
  </cols>
  <sheetData>
    <row r="1" ht="14.25" customHeight="1">
      <c r="C1" s="1"/>
    </row>
    <row r="2" ht="14.25" customHeight="1">
      <c r="C2" s="1"/>
    </row>
    <row r="3" ht="30.0" customHeight="1">
      <c r="B3" s="2" t="s">
        <v>0</v>
      </c>
      <c r="C3" s="3"/>
      <c r="D3" s="3"/>
      <c r="E3" s="3"/>
      <c r="F3" s="3"/>
      <c r="G3" s="3"/>
      <c r="H3" s="3"/>
      <c r="I3" s="3"/>
      <c r="J3" s="3"/>
      <c r="K3" s="4"/>
    </row>
    <row r="4" ht="30.0" customHeight="1">
      <c r="B4" s="5"/>
      <c r="C4" s="6"/>
      <c r="D4" s="6"/>
      <c r="E4" s="6"/>
      <c r="F4" s="6"/>
      <c r="G4" s="6"/>
      <c r="H4" s="6"/>
      <c r="I4" s="6"/>
      <c r="J4" s="6"/>
      <c r="K4" s="7"/>
    </row>
    <row r="5" ht="51.0" customHeight="1">
      <c r="B5" s="8" t="s">
        <v>1</v>
      </c>
      <c r="C5" s="9"/>
      <c r="D5" s="10"/>
      <c r="E5" s="11" t="s">
        <v>2</v>
      </c>
      <c r="F5" s="9"/>
      <c r="G5" s="9"/>
      <c r="H5" s="9"/>
      <c r="I5" s="9"/>
      <c r="J5" s="9"/>
      <c r="K5" s="10"/>
    </row>
    <row r="6" ht="55.5" customHeight="1">
      <c r="B6" s="12" t="s">
        <v>3</v>
      </c>
      <c r="C6" s="9"/>
      <c r="D6" s="9"/>
      <c r="E6" s="9"/>
      <c r="F6" s="9"/>
      <c r="G6" s="9"/>
      <c r="H6" s="9"/>
      <c r="I6" s="9"/>
      <c r="J6" s="9"/>
      <c r="K6" s="10"/>
    </row>
    <row r="7" ht="45.0" customHeight="1">
      <c r="B7" s="13" t="s">
        <v>4</v>
      </c>
      <c r="C7" s="14" t="s">
        <v>5</v>
      </c>
      <c r="D7" s="4"/>
      <c r="E7" s="15" t="s">
        <v>6</v>
      </c>
      <c r="F7" s="16" t="s">
        <v>7</v>
      </c>
      <c r="G7" s="15" t="s">
        <v>6</v>
      </c>
      <c r="H7" s="17"/>
      <c r="I7" s="16" t="s">
        <v>8</v>
      </c>
      <c r="J7" s="15" t="s">
        <v>6</v>
      </c>
      <c r="K7" s="16" t="s">
        <v>9</v>
      </c>
    </row>
    <row r="8" ht="60.0" customHeight="1">
      <c r="B8" s="18"/>
      <c r="C8" s="5"/>
      <c r="D8" s="7"/>
      <c r="E8" s="18"/>
      <c r="F8" s="18"/>
      <c r="G8" s="18"/>
      <c r="H8" s="17"/>
      <c r="I8" s="18"/>
      <c r="J8" s="18"/>
      <c r="K8" s="18"/>
    </row>
    <row r="9">
      <c r="B9" s="19">
        <v>1.0</v>
      </c>
      <c r="C9" s="20" t="s">
        <v>10</v>
      </c>
      <c r="D9" s="10"/>
      <c r="E9" s="21" t="s">
        <v>11</v>
      </c>
      <c r="F9" s="22" t="s">
        <v>12</v>
      </c>
      <c r="G9" s="23" t="s">
        <v>11</v>
      </c>
      <c r="H9" s="24"/>
      <c r="I9" s="22" t="s">
        <v>12</v>
      </c>
      <c r="J9" s="23" t="s">
        <v>11</v>
      </c>
      <c r="K9" s="22" t="s">
        <v>12</v>
      </c>
    </row>
    <row r="10">
      <c r="B10" s="19">
        <v>2.0</v>
      </c>
      <c r="C10" s="20" t="s">
        <v>13</v>
      </c>
      <c r="D10" s="10"/>
      <c r="E10" s="21" t="s">
        <v>11</v>
      </c>
      <c r="F10" s="25" t="s">
        <v>14</v>
      </c>
      <c r="G10" s="26" t="s">
        <v>15</v>
      </c>
      <c r="I10" s="27" t="s">
        <v>16</v>
      </c>
      <c r="J10" s="26" t="s">
        <v>15</v>
      </c>
      <c r="K10" s="27" t="s">
        <v>17</v>
      </c>
    </row>
    <row r="11">
      <c r="B11" s="19">
        <v>3.0</v>
      </c>
      <c r="C11" s="20" t="s">
        <v>18</v>
      </c>
      <c r="D11" s="10"/>
      <c r="E11" s="21" t="s">
        <v>11</v>
      </c>
      <c r="F11" s="25" t="s">
        <v>19</v>
      </c>
      <c r="G11" s="23" t="s">
        <v>11</v>
      </c>
      <c r="I11" s="25" t="s">
        <v>19</v>
      </c>
      <c r="J11" s="23" t="s">
        <v>11</v>
      </c>
      <c r="K11" s="25" t="s">
        <v>19</v>
      </c>
    </row>
    <row r="12">
      <c r="B12" s="19">
        <v>4.0</v>
      </c>
      <c r="C12" s="20" t="s">
        <v>20</v>
      </c>
      <c r="D12" s="10"/>
      <c r="E12" s="21" t="s">
        <v>11</v>
      </c>
      <c r="F12" s="28" t="s">
        <v>21</v>
      </c>
      <c r="G12" s="23" t="s">
        <v>11</v>
      </c>
      <c r="I12" s="28" t="s">
        <v>21</v>
      </c>
      <c r="J12" s="23" t="s">
        <v>11</v>
      </c>
      <c r="K12" s="28" t="s">
        <v>21</v>
      </c>
    </row>
    <row r="13">
      <c r="B13" s="19">
        <v>5.0</v>
      </c>
      <c r="C13" s="20" t="s">
        <v>22</v>
      </c>
      <c r="D13" s="10"/>
      <c r="E13" s="21" t="s">
        <v>11</v>
      </c>
      <c r="F13" s="28" t="s">
        <v>23</v>
      </c>
      <c r="G13" s="23" t="s">
        <v>11</v>
      </c>
      <c r="I13" s="28" t="s">
        <v>23</v>
      </c>
      <c r="J13" s="23" t="s">
        <v>24</v>
      </c>
      <c r="K13" s="28" t="s">
        <v>23</v>
      </c>
    </row>
    <row r="14">
      <c r="B14" s="19">
        <v>6.0</v>
      </c>
      <c r="C14" s="29" t="s">
        <v>25</v>
      </c>
      <c r="D14" s="10"/>
      <c r="E14" s="21" t="s">
        <v>11</v>
      </c>
      <c r="F14" s="28" t="s">
        <v>26</v>
      </c>
      <c r="G14" s="23" t="s">
        <v>11</v>
      </c>
      <c r="I14" s="28" t="s">
        <v>26</v>
      </c>
      <c r="J14" s="23" t="s">
        <v>11</v>
      </c>
      <c r="K14" s="28" t="s">
        <v>26</v>
      </c>
    </row>
    <row r="15">
      <c r="B15" s="19">
        <v>7.0</v>
      </c>
      <c r="C15" s="20" t="s">
        <v>27</v>
      </c>
      <c r="D15" s="10"/>
      <c r="E15" s="26" t="s">
        <v>15</v>
      </c>
      <c r="F15" s="30" t="s">
        <v>28</v>
      </c>
      <c r="G15" s="26" t="s">
        <v>15</v>
      </c>
      <c r="I15" s="30" t="s">
        <v>28</v>
      </c>
      <c r="J15" s="26" t="s">
        <v>15</v>
      </c>
      <c r="K15" s="30" t="s">
        <v>28</v>
      </c>
    </row>
    <row r="16">
      <c r="B16" s="19">
        <v>8.0</v>
      </c>
      <c r="C16" s="20" t="s">
        <v>29</v>
      </c>
      <c r="D16" s="10"/>
      <c r="E16" s="23" t="s">
        <v>11</v>
      </c>
      <c r="F16" s="30" t="s">
        <v>30</v>
      </c>
      <c r="G16" s="23" t="s">
        <v>11</v>
      </c>
      <c r="I16" s="30" t="s">
        <v>30</v>
      </c>
      <c r="J16" s="23" t="s">
        <v>11</v>
      </c>
      <c r="K16" s="30" t="s">
        <v>30</v>
      </c>
    </row>
    <row r="17">
      <c r="B17" s="19">
        <v>9.0</v>
      </c>
      <c r="C17" s="20" t="s">
        <v>31</v>
      </c>
      <c r="D17" s="10"/>
      <c r="E17" s="21" t="s">
        <v>11</v>
      </c>
      <c r="F17" s="31" t="s">
        <v>32</v>
      </c>
      <c r="G17" s="23" t="s">
        <v>11</v>
      </c>
      <c r="I17" s="31" t="s">
        <v>32</v>
      </c>
      <c r="J17" s="23" t="s">
        <v>11</v>
      </c>
      <c r="K17" s="31" t="s">
        <v>32</v>
      </c>
    </row>
    <row r="18">
      <c r="B18" s="19">
        <v>10.0</v>
      </c>
      <c r="C18" s="20" t="s">
        <v>33</v>
      </c>
      <c r="D18" s="10"/>
      <c r="E18" s="21" t="s">
        <v>11</v>
      </c>
      <c r="F18" s="28" t="s">
        <v>34</v>
      </c>
      <c r="G18" s="23" t="s">
        <v>11</v>
      </c>
      <c r="I18" s="28" t="s">
        <v>34</v>
      </c>
      <c r="J18" s="23" t="s">
        <v>11</v>
      </c>
      <c r="K18" s="28" t="s">
        <v>34</v>
      </c>
    </row>
    <row r="19">
      <c r="B19" s="19">
        <v>11.0</v>
      </c>
      <c r="C19" s="20" t="s">
        <v>35</v>
      </c>
      <c r="D19" s="10"/>
      <c r="E19" s="23" t="s">
        <v>11</v>
      </c>
      <c r="F19" s="28" t="s">
        <v>36</v>
      </c>
      <c r="G19" s="23" t="s">
        <v>11</v>
      </c>
      <c r="I19" s="28" t="s">
        <v>36</v>
      </c>
      <c r="J19" s="23" t="s">
        <v>11</v>
      </c>
      <c r="K19" s="28" t="s">
        <v>36</v>
      </c>
    </row>
    <row r="20" ht="14.25" customHeight="1">
      <c r="C20" s="1"/>
    </row>
    <row r="21" ht="14.25" customHeight="1">
      <c r="C21" s="1"/>
    </row>
    <row r="22" ht="14.25" customHeight="1">
      <c r="C22" s="1"/>
    </row>
    <row r="23" ht="14.25" customHeight="1">
      <c r="C23" s="1"/>
    </row>
    <row r="24" ht="14.25" customHeight="1">
      <c r="C24" s="1"/>
    </row>
    <row r="25" ht="14.25" customHeight="1">
      <c r="C25" s="1"/>
    </row>
    <row r="26" ht="14.25" customHeight="1">
      <c r="C26" s="1"/>
    </row>
    <row r="27" ht="14.25" customHeight="1">
      <c r="C27" s="1"/>
    </row>
    <row r="28" ht="14.25" customHeight="1">
      <c r="C28" s="1"/>
    </row>
    <row r="29" ht="14.25" customHeight="1">
      <c r="C29" s="1"/>
    </row>
    <row r="30" ht="14.25" customHeight="1">
      <c r="C30" s="1"/>
    </row>
    <row r="31" ht="14.25" customHeight="1">
      <c r="C31" s="1"/>
    </row>
    <row r="32" ht="14.25" customHeight="1">
      <c r="C32" s="1"/>
    </row>
    <row r="33" ht="14.25" customHeight="1">
      <c r="C33" s="1"/>
    </row>
    <row r="34" ht="14.25" customHeight="1">
      <c r="C34" s="1"/>
    </row>
    <row r="35" ht="14.25" customHeight="1">
      <c r="C35" s="1"/>
    </row>
    <row r="36" ht="14.25" customHeight="1">
      <c r="C36" s="1"/>
    </row>
    <row r="37" ht="14.25" customHeight="1">
      <c r="C37" s="1"/>
    </row>
    <row r="38" ht="14.25" customHeight="1">
      <c r="C38" s="1"/>
    </row>
    <row r="39" ht="14.25" customHeight="1">
      <c r="C39" s="1"/>
    </row>
    <row r="40" ht="14.25" customHeight="1">
      <c r="C40" s="1"/>
    </row>
    <row r="41" ht="14.25" customHeight="1">
      <c r="C41" s="1"/>
    </row>
    <row r="42" ht="14.25" customHeight="1">
      <c r="C42" s="1"/>
    </row>
    <row r="43" ht="14.25" customHeight="1">
      <c r="C43" s="1"/>
    </row>
    <row r="44" ht="14.25" customHeight="1">
      <c r="C44" s="1"/>
    </row>
    <row r="45" ht="14.25" customHeight="1">
      <c r="C45" s="1"/>
    </row>
    <row r="46" ht="14.25" customHeight="1">
      <c r="C46" s="1"/>
    </row>
    <row r="47" ht="14.25" customHeight="1">
      <c r="C47" s="1"/>
    </row>
    <row r="48" ht="14.25" customHeight="1">
      <c r="C48" s="1"/>
    </row>
    <row r="49" ht="14.25" customHeight="1">
      <c r="C49" s="1"/>
    </row>
    <row r="50" ht="14.25" customHeight="1">
      <c r="C50" s="1"/>
    </row>
    <row r="51" ht="14.25" customHeight="1">
      <c r="C51" s="1"/>
    </row>
    <row r="52" ht="14.25" customHeight="1">
      <c r="C52" s="1"/>
    </row>
    <row r="53" ht="14.25" customHeight="1">
      <c r="C53" s="1"/>
    </row>
    <row r="54" ht="14.25" customHeight="1">
      <c r="C54" s="1"/>
    </row>
    <row r="55" ht="14.25" customHeight="1">
      <c r="C55" s="1"/>
    </row>
    <row r="56" ht="14.25" customHeight="1">
      <c r="C56" s="1"/>
    </row>
    <row r="57" ht="14.25" customHeight="1">
      <c r="C57" s="1"/>
    </row>
    <row r="58" ht="14.25" customHeight="1">
      <c r="C58" s="1"/>
    </row>
    <row r="59" ht="14.25" customHeight="1">
      <c r="C59" s="1"/>
    </row>
    <row r="60" ht="14.25" customHeight="1">
      <c r="C60" s="1"/>
    </row>
    <row r="61" ht="14.25" customHeight="1">
      <c r="C61" s="1"/>
    </row>
    <row r="62" ht="14.25" customHeight="1">
      <c r="C62" s="1"/>
    </row>
    <row r="63" ht="14.25" customHeight="1">
      <c r="C63" s="1"/>
    </row>
    <row r="64" ht="14.25" customHeight="1">
      <c r="C64" s="1"/>
    </row>
    <row r="65" ht="14.25" customHeight="1">
      <c r="C65" s="1"/>
    </row>
    <row r="66" ht="14.25" customHeight="1">
      <c r="C66" s="1"/>
    </row>
    <row r="67" ht="14.25" customHeight="1">
      <c r="C67" s="1"/>
    </row>
    <row r="68" ht="14.25" customHeight="1">
      <c r="C68" s="1"/>
    </row>
    <row r="69" ht="14.25" customHeight="1">
      <c r="C69" s="1"/>
    </row>
    <row r="70" ht="14.25" customHeight="1">
      <c r="C70" s="1"/>
    </row>
    <row r="71" ht="14.25" customHeight="1">
      <c r="C71" s="1"/>
    </row>
    <row r="72" ht="14.25" customHeight="1">
      <c r="C72" s="1"/>
    </row>
    <row r="73" ht="14.25" customHeight="1">
      <c r="C73" s="1"/>
    </row>
    <row r="74" ht="14.25" customHeight="1">
      <c r="C74" s="1"/>
    </row>
    <row r="75" ht="14.25" customHeight="1">
      <c r="C75" s="1"/>
    </row>
    <row r="76" ht="14.25" customHeight="1">
      <c r="C76" s="1"/>
    </row>
    <row r="77" ht="14.25" customHeight="1">
      <c r="C77" s="1"/>
    </row>
    <row r="78" ht="14.25" customHeight="1">
      <c r="C78" s="1"/>
    </row>
    <row r="79" ht="14.25" customHeight="1">
      <c r="C79" s="1"/>
    </row>
    <row r="80" ht="14.25" customHeight="1">
      <c r="C80" s="1"/>
    </row>
    <row r="81" ht="14.25" customHeight="1">
      <c r="C81" s="1"/>
    </row>
    <row r="82" ht="14.25" customHeight="1">
      <c r="C82" s="1"/>
    </row>
    <row r="83" ht="14.25" customHeight="1">
      <c r="C83" s="1"/>
    </row>
    <row r="84" ht="14.25" customHeight="1">
      <c r="C84" s="1"/>
    </row>
    <row r="85" ht="14.25" customHeight="1">
      <c r="C85" s="1"/>
    </row>
    <row r="86" ht="14.25" customHeight="1">
      <c r="C86" s="1"/>
    </row>
    <row r="87" ht="14.25" customHeight="1">
      <c r="C87" s="1"/>
    </row>
    <row r="88" ht="14.25" customHeight="1">
      <c r="C88" s="1"/>
    </row>
    <row r="89" ht="14.25" customHeight="1">
      <c r="C89" s="1"/>
    </row>
    <row r="90" ht="14.25" customHeight="1">
      <c r="C90" s="1"/>
    </row>
    <row r="91" ht="14.25" customHeight="1">
      <c r="C91" s="1"/>
    </row>
    <row r="92" ht="14.25" customHeight="1">
      <c r="C92" s="1"/>
    </row>
    <row r="93" ht="14.25" customHeight="1">
      <c r="C93" s="1"/>
    </row>
    <row r="94" ht="14.25" customHeight="1">
      <c r="C94" s="1"/>
    </row>
    <row r="95" ht="14.25" customHeight="1">
      <c r="C95" s="1"/>
    </row>
    <row r="96" ht="14.25" customHeight="1">
      <c r="C96" s="1"/>
    </row>
    <row r="97" ht="14.25" customHeight="1">
      <c r="C97" s="1"/>
    </row>
    <row r="98" ht="14.25" customHeight="1">
      <c r="C98" s="1"/>
    </row>
    <row r="99" ht="14.25" customHeight="1">
      <c r="C99" s="1"/>
    </row>
    <row r="100" ht="14.25" customHeight="1">
      <c r="C100" s="1"/>
    </row>
    <row r="101" ht="14.25" customHeight="1">
      <c r="C101" s="1"/>
    </row>
    <row r="102" ht="14.25" customHeight="1">
      <c r="C102" s="1"/>
    </row>
    <row r="103" ht="14.25" customHeight="1">
      <c r="C103" s="1"/>
    </row>
    <row r="104" ht="14.25" customHeight="1">
      <c r="C104" s="1"/>
    </row>
    <row r="105" ht="14.25" customHeight="1">
      <c r="C105" s="1"/>
    </row>
    <row r="106" ht="14.25" customHeight="1">
      <c r="C106" s="1"/>
    </row>
    <row r="107" ht="14.25" customHeight="1">
      <c r="C107" s="1"/>
    </row>
    <row r="108" ht="14.25" customHeight="1">
      <c r="C108" s="1"/>
    </row>
    <row r="109" ht="14.25" customHeight="1">
      <c r="C109" s="1"/>
    </row>
    <row r="110" ht="14.25" customHeight="1">
      <c r="C110" s="1"/>
    </row>
    <row r="111" ht="14.25" customHeight="1">
      <c r="C111" s="1"/>
    </row>
    <row r="112" ht="14.25" customHeight="1">
      <c r="C112" s="1"/>
    </row>
    <row r="113" ht="14.25" customHeight="1">
      <c r="C113" s="1"/>
    </row>
    <row r="114" ht="14.25" customHeight="1">
      <c r="C114" s="1"/>
    </row>
    <row r="115" ht="14.25" customHeight="1">
      <c r="C115" s="1"/>
    </row>
    <row r="116" ht="14.25" customHeight="1">
      <c r="C116" s="1"/>
    </row>
    <row r="117" ht="14.25" customHeight="1">
      <c r="C117" s="1"/>
    </row>
    <row r="118" ht="14.25" customHeight="1">
      <c r="C118" s="1"/>
    </row>
    <row r="119" ht="14.25" customHeight="1">
      <c r="C119" s="1"/>
    </row>
    <row r="120" ht="14.25" customHeight="1">
      <c r="C120" s="1"/>
    </row>
    <row r="121" ht="14.25" customHeight="1">
      <c r="C121" s="1"/>
    </row>
    <row r="122" ht="14.25" customHeight="1">
      <c r="C122" s="1"/>
    </row>
    <row r="123" ht="14.25" customHeight="1">
      <c r="C123" s="1"/>
    </row>
    <row r="124" ht="14.25" customHeight="1">
      <c r="C124" s="1"/>
    </row>
    <row r="125" ht="14.25" customHeight="1">
      <c r="C125" s="1"/>
    </row>
    <row r="126" ht="14.25" customHeight="1">
      <c r="C126" s="1"/>
    </row>
    <row r="127" ht="14.25" customHeight="1">
      <c r="C127" s="1"/>
    </row>
    <row r="128" ht="14.25" customHeight="1">
      <c r="C128" s="1"/>
    </row>
    <row r="129" ht="14.25" customHeight="1">
      <c r="C129" s="1"/>
    </row>
    <row r="130" ht="14.25" customHeight="1">
      <c r="C130" s="1"/>
    </row>
    <row r="131" ht="14.25" customHeight="1">
      <c r="C131" s="1"/>
    </row>
    <row r="132" ht="14.25" customHeight="1">
      <c r="C132" s="1"/>
    </row>
    <row r="133" ht="14.25" customHeight="1">
      <c r="C133" s="1"/>
    </row>
    <row r="134" ht="14.25" customHeight="1">
      <c r="C134" s="1"/>
    </row>
    <row r="135" ht="14.25" customHeight="1">
      <c r="C135" s="1"/>
    </row>
    <row r="136" ht="14.25" customHeight="1">
      <c r="C136" s="1"/>
    </row>
    <row r="137" ht="14.25" customHeight="1">
      <c r="C137" s="1"/>
    </row>
    <row r="138" ht="14.25" customHeight="1">
      <c r="C138" s="1"/>
    </row>
    <row r="139" ht="14.25" customHeight="1">
      <c r="C139" s="1"/>
    </row>
    <row r="140" ht="14.25" customHeight="1">
      <c r="C140" s="1"/>
    </row>
    <row r="141" ht="14.25" customHeight="1">
      <c r="C141" s="1"/>
    </row>
    <row r="142" ht="14.25" customHeight="1">
      <c r="C142" s="1"/>
    </row>
    <row r="143" ht="14.25" customHeight="1">
      <c r="C143" s="1"/>
    </row>
    <row r="144" ht="14.25" customHeight="1">
      <c r="C144" s="1"/>
    </row>
    <row r="145" ht="14.25" customHeight="1">
      <c r="C145" s="1"/>
    </row>
    <row r="146" ht="14.25" customHeight="1">
      <c r="C146" s="1"/>
    </row>
    <row r="147" ht="14.25" customHeight="1">
      <c r="C147" s="1"/>
    </row>
    <row r="148" ht="14.25" customHeight="1">
      <c r="C148" s="1"/>
    </row>
    <row r="149" ht="14.25" customHeight="1">
      <c r="C149" s="1"/>
    </row>
    <row r="150" ht="14.25" customHeight="1">
      <c r="C150" s="1"/>
    </row>
    <row r="151" ht="14.25" customHeight="1">
      <c r="C151" s="1"/>
    </row>
    <row r="152" ht="14.25" customHeight="1">
      <c r="C152" s="1"/>
    </row>
    <row r="153" ht="14.25" customHeight="1">
      <c r="C153" s="1"/>
    </row>
    <row r="154" ht="14.25" customHeight="1">
      <c r="C154" s="1"/>
    </row>
    <row r="155" ht="14.25" customHeight="1">
      <c r="C155" s="1"/>
    </row>
    <row r="156" ht="14.25" customHeight="1">
      <c r="C156" s="1"/>
    </row>
    <row r="157" ht="14.25" customHeight="1">
      <c r="C157" s="1"/>
    </row>
    <row r="158" ht="14.25" customHeight="1">
      <c r="C158" s="1"/>
    </row>
    <row r="159" ht="14.25" customHeight="1">
      <c r="C159" s="1"/>
    </row>
    <row r="160" ht="14.25" customHeight="1">
      <c r="C160" s="1"/>
    </row>
    <row r="161" ht="14.25" customHeight="1">
      <c r="C161" s="1"/>
    </row>
    <row r="162" ht="14.25" customHeight="1">
      <c r="C162" s="1"/>
    </row>
    <row r="163" ht="14.25" customHeight="1">
      <c r="C163" s="1"/>
    </row>
    <row r="164" ht="14.25" customHeight="1">
      <c r="C164" s="1"/>
    </row>
    <row r="165" ht="14.25" customHeight="1">
      <c r="C165" s="1"/>
    </row>
    <row r="166" ht="14.25" customHeight="1">
      <c r="C166" s="1"/>
    </row>
    <row r="167" ht="14.25" customHeight="1">
      <c r="C167" s="1"/>
    </row>
    <row r="168" ht="14.25" customHeight="1">
      <c r="C168" s="1"/>
    </row>
    <row r="169" ht="14.25" customHeight="1">
      <c r="C169" s="1"/>
    </row>
    <row r="170" ht="14.25" customHeight="1">
      <c r="C170" s="1"/>
    </row>
    <row r="171" ht="14.25" customHeight="1">
      <c r="C171" s="1"/>
    </row>
    <row r="172" ht="14.25" customHeight="1">
      <c r="C172" s="1"/>
    </row>
    <row r="173" ht="14.25" customHeight="1">
      <c r="C173" s="1"/>
    </row>
    <row r="174" ht="14.25" customHeight="1">
      <c r="C174" s="1"/>
    </row>
    <row r="175" ht="14.25" customHeight="1">
      <c r="C175" s="1"/>
    </row>
    <row r="176" ht="14.25" customHeight="1">
      <c r="C176" s="1"/>
    </row>
    <row r="177" ht="14.25" customHeight="1">
      <c r="C177" s="1"/>
    </row>
    <row r="178" ht="14.25" customHeight="1">
      <c r="C178" s="1"/>
    </row>
    <row r="179" ht="14.25" customHeight="1">
      <c r="C179" s="1"/>
    </row>
    <row r="180" ht="14.25" customHeight="1">
      <c r="C180" s="1"/>
    </row>
    <row r="181" ht="14.25" customHeight="1">
      <c r="C181" s="1"/>
    </row>
    <row r="182" ht="14.25" customHeight="1">
      <c r="C182" s="1"/>
    </row>
    <row r="183" ht="14.25" customHeight="1">
      <c r="C183" s="1"/>
    </row>
    <row r="184" ht="14.25" customHeight="1">
      <c r="C184" s="1"/>
    </row>
    <row r="185" ht="14.25" customHeight="1">
      <c r="C185" s="1"/>
    </row>
    <row r="186" ht="14.25" customHeight="1">
      <c r="C186" s="1"/>
    </row>
    <row r="187" ht="14.25" customHeight="1">
      <c r="C187" s="1"/>
    </row>
    <row r="188" ht="14.25" customHeight="1">
      <c r="C188" s="1"/>
    </row>
    <row r="189" ht="14.25" customHeight="1">
      <c r="C189" s="1"/>
    </row>
    <row r="190" ht="14.25" customHeight="1">
      <c r="C190" s="1"/>
    </row>
    <row r="191" ht="14.25" customHeight="1">
      <c r="C191" s="1"/>
    </row>
    <row r="192" ht="14.25" customHeight="1">
      <c r="C192" s="1"/>
    </row>
    <row r="193" ht="14.25" customHeight="1">
      <c r="C193" s="1"/>
    </row>
    <row r="194" ht="14.25" customHeight="1">
      <c r="C194" s="1"/>
    </row>
    <row r="195" ht="14.25" customHeight="1">
      <c r="C195" s="1"/>
    </row>
    <row r="196" ht="14.25" customHeight="1">
      <c r="C196" s="1"/>
    </row>
    <row r="197" ht="14.25" customHeight="1">
      <c r="C197" s="1"/>
    </row>
    <row r="198" ht="14.25" customHeight="1">
      <c r="C198" s="1"/>
    </row>
    <row r="199" ht="14.25" customHeight="1">
      <c r="C199" s="1"/>
    </row>
    <row r="200" ht="14.25" customHeight="1">
      <c r="C200" s="1"/>
    </row>
    <row r="201" ht="14.25" customHeight="1">
      <c r="C201" s="1"/>
    </row>
    <row r="202" ht="14.25" customHeight="1">
      <c r="C202" s="1"/>
    </row>
    <row r="203" ht="14.25" customHeight="1">
      <c r="C203" s="1"/>
    </row>
    <row r="204" ht="14.25" customHeight="1">
      <c r="C204" s="1"/>
    </row>
    <row r="205" ht="14.25" customHeight="1">
      <c r="C205" s="1"/>
    </row>
    <row r="206" ht="14.25" customHeight="1">
      <c r="C206" s="1"/>
    </row>
    <row r="207" ht="14.25" customHeight="1">
      <c r="C207" s="1"/>
    </row>
    <row r="208" ht="14.25" customHeight="1">
      <c r="C208" s="1"/>
    </row>
    <row r="209" ht="14.25" customHeight="1">
      <c r="C209" s="1"/>
    </row>
    <row r="210" ht="14.25" customHeight="1">
      <c r="C210" s="1"/>
    </row>
    <row r="211" ht="14.25" customHeight="1">
      <c r="C211" s="1"/>
    </row>
    <row r="212" ht="14.25" customHeight="1">
      <c r="C212" s="1"/>
    </row>
    <row r="213" ht="14.25" customHeight="1">
      <c r="C213" s="1"/>
    </row>
    <row r="214" ht="14.25" customHeight="1">
      <c r="C214" s="1"/>
    </row>
    <row r="215" ht="14.25" customHeight="1">
      <c r="C215" s="1"/>
    </row>
    <row r="216" ht="14.25" customHeight="1">
      <c r="C216" s="1"/>
    </row>
    <row r="217" ht="14.25" customHeight="1">
      <c r="C217" s="1"/>
    </row>
    <row r="218" ht="14.25" customHeight="1">
      <c r="C218" s="1"/>
    </row>
    <row r="219" ht="14.25" customHeight="1">
      <c r="C219" s="1"/>
    </row>
    <row r="220" ht="14.25" customHeight="1">
      <c r="C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F7:F8"/>
    <mergeCell ref="G7:G8"/>
    <mergeCell ref="I7:I8"/>
    <mergeCell ref="J7:J8"/>
    <mergeCell ref="B3:K4"/>
    <mergeCell ref="B5:D5"/>
    <mergeCell ref="E5:K5"/>
    <mergeCell ref="B6:K6"/>
    <mergeCell ref="B7:B8"/>
    <mergeCell ref="E7:E8"/>
    <mergeCell ref="K7:K8"/>
    <mergeCell ref="C15:D15"/>
    <mergeCell ref="C16:D16"/>
    <mergeCell ref="C17:D17"/>
    <mergeCell ref="C18:D18"/>
    <mergeCell ref="C19:D19"/>
    <mergeCell ref="C7:D8"/>
    <mergeCell ref="C9:D9"/>
    <mergeCell ref="C10:D10"/>
    <mergeCell ref="C11:D11"/>
    <mergeCell ref="C12:D12"/>
    <mergeCell ref="C13:D13"/>
    <mergeCell ref="C14:D14"/>
  </mergeCells>
  <printOptions horizontalCentered="1" verticalCentered="1"/>
  <pageMargins bottom="0.7480314960629921" footer="0.0" header="0.0" left="0.47" right="0.7086614173228347" top="0.7480314960629921"/>
  <pageSetup scale="56" orientation="landscape" paperHeight="8.26771653543307in" paperWidth="11.692913385826772in"/>
  <headerFooter>
    <oddFooter>&amp;LElaborado por: Ing Jenny A Ruiz R, Mónica  Gómez Docentes TC del Departamento de Ciencias de la  Computación IREB PROYECTO DE CHECK LIST  (CASO DE ESTUDIO ACADÉMICO)&amp;C&amp;P de &amp;R&amp;D</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6.71"/>
    <col customWidth="1" min="3" max="3" width="16.14"/>
    <col customWidth="1" min="4" max="4" width="22.0"/>
    <col customWidth="1" min="5" max="6" width="10.71"/>
    <col customWidth="1" min="7" max="7" width="36.71"/>
    <col customWidth="1" min="8" max="8" width="20.57"/>
    <col customWidth="1" min="9" max="9" width="21.86"/>
    <col customWidth="1" min="10" max="11" width="10.71"/>
    <col customWidth="1" min="12" max="12" width="36.71"/>
    <col customWidth="1" min="13" max="13" width="20.57"/>
    <col customWidth="1" min="14" max="14" width="21.57"/>
    <col customWidth="1" min="15" max="24" width="10.71"/>
  </cols>
  <sheetData>
    <row r="1">
      <c r="A1" s="32" t="s">
        <v>1</v>
      </c>
      <c r="B1" s="10"/>
      <c r="C1" s="33" t="s">
        <v>2</v>
      </c>
      <c r="D1" s="10"/>
      <c r="E1" s="34"/>
      <c r="F1" s="34"/>
      <c r="G1" s="34"/>
      <c r="H1" s="34"/>
      <c r="I1" s="34"/>
      <c r="J1" s="34"/>
      <c r="K1" s="34"/>
      <c r="L1" s="34"/>
      <c r="M1" s="34"/>
      <c r="N1" s="34"/>
      <c r="O1" s="34"/>
      <c r="P1" s="34"/>
    </row>
    <row r="2">
      <c r="A2" s="35" t="s">
        <v>37</v>
      </c>
      <c r="B2" s="10"/>
      <c r="C2" s="36">
        <v>46126.0</v>
      </c>
      <c r="D2" s="10"/>
    </row>
    <row r="3">
      <c r="A3" s="35" t="s">
        <v>38</v>
      </c>
      <c r="B3" s="10"/>
      <c r="C3" s="37" t="s">
        <v>39</v>
      </c>
      <c r="D3" s="10"/>
    </row>
    <row r="4">
      <c r="A4" s="35" t="s">
        <v>40</v>
      </c>
      <c r="B4" s="10"/>
      <c r="C4" s="37" t="s">
        <v>41</v>
      </c>
      <c r="D4" s="10"/>
    </row>
    <row r="5" ht="14.25" customHeight="1"/>
    <row r="6">
      <c r="A6" s="38" t="s">
        <v>42</v>
      </c>
      <c r="B6" s="9"/>
      <c r="C6" s="9"/>
      <c r="D6" s="10"/>
    </row>
    <row r="7">
      <c r="A7" s="39" t="s">
        <v>43</v>
      </c>
      <c r="B7" s="39" t="s">
        <v>44</v>
      </c>
      <c r="C7" s="39" t="s">
        <v>45</v>
      </c>
      <c r="D7" s="39" t="s">
        <v>46</v>
      </c>
    </row>
    <row r="8">
      <c r="A8" s="40">
        <v>1.0</v>
      </c>
      <c r="B8" s="41" t="s">
        <v>47</v>
      </c>
      <c r="C8" s="40" t="s">
        <v>48</v>
      </c>
      <c r="D8" s="40"/>
    </row>
    <row r="9">
      <c r="A9" s="40">
        <v>2.0</v>
      </c>
      <c r="B9" s="41" t="s">
        <v>49</v>
      </c>
      <c r="C9" s="40" t="s">
        <v>48</v>
      </c>
      <c r="D9" s="40"/>
    </row>
    <row r="10">
      <c r="A10" s="40">
        <v>3.0</v>
      </c>
      <c r="B10" s="41" t="s">
        <v>50</v>
      </c>
      <c r="C10" s="40"/>
      <c r="D10" s="42" t="s">
        <v>48</v>
      </c>
    </row>
    <row r="11">
      <c r="A11" s="40">
        <v>4.0</v>
      </c>
      <c r="B11" s="41" t="s">
        <v>51</v>
      </c>
      <c r="C11" s="40" t="s">
        <v>48</v>
      </c>
      <c r="D11" s="40"/>
    </row>
    <row r="12">
      <c r="A12" s="40">
        <v>5.0</v>
      </c>
      <c r="B12" s="41" t="s">
        <v>52</v>
      </c>
      <c r="C12" s="40" t="s">
        <v>48</v>
      </c>
      <c r="D12" s="40"/>
    </row>
    <row r="13">
      <c r="A13" s="40">
        <v>6.0</v>
      </c>
      <c r="B13" s="41" t="s">
        <v>53</v>
      </c>
      <c r="C13" s="40" t="s">
        <v>48</v>
      </c>
      <c r="D13" s="40"/>
    </row>
    <row r="14">
      <c r="A14" s="40">
        <v>7.0</v>
      </c>
      <c r="B14" s="41" t="s">
        <v>54</v>
      </c>
      <c r="C14" s="40" t="s">
        <v>48</v>
      </c>
      <c r="D14" s="40"/>
    </row>
    <row r="15">
      <c r="A15" s="40">
        <v>8.0</v>
      </c>
      <c r="B15" s="41" t="s">
        <v>55</v>
      </c>
      <c r="C15" s="40" t="s">
        <v>48</v>
      </c>
      <c r="D15" s="40"/>
    </row>
    <row r="16">
      <c r="A16" s="40">
        <v>9.0</v>
      </c>
      <c r="B16" s="41" t="s">
        <v>56</v>
      </c>
      <c r="C16" s="43" t="s">
        <v>48</v>
      </c>
      <c r="D16" s="43"/>
    </row>
    <row r="17">
      <c r="A17" s="44" t="s">
        <v>57</v>
      </c>
      <c r="B17" s="10"/>
      <c r="C17" s="17">
        <f>COUNTA('MODELO LISTA DE COMPROBACION CU'!$C$8:$C$16)</f>
        <v>8</v>
      </c>
      <c r="D17" s="17">
        <f>COUNTA('MODELO LISTA DE COMPROBACION CU'!$D$8:$D$16)</f>
        <v>1</v>
      </c>
    </row>
    <row r="18">
      <c r="A18" s="44" t="s">
        <v>58</v>
      </c>
      <c r="B18" s="10"/>
      <c r="C18" s="45">
        <f t="shared" ref="C18:D18" si="1">C17/9</f>
        <v>0.8888888889</v>
      </c>
      <c r="D18" s="45">
        <f t="shared" si="1"/>
        <v>0.1111111111</v>
      </c>
    </row>
    <row r="19" ht="14.25" customHeight="1">
      <c r="A19" s="46"/>
      <c r="B19" s="46"/>
      <c r="C19" s="47"/>
      <c r="D19" s="24"/>
    </row>
    <row r="20">
      <c r="A20" s="38" t="s">
        <v>59</v>
      </c>
      <c r="B20" s="9"/>
      <c r="C20" s="9"/>
      <c r="D20" s="10"/>
    </row>
    <row r="21">
      <c r="A21" s="48" t="s">
        <v>43</v>
      </c>
      <c r="B21" s="48" t="s">
        <v>44</v>
      </c>
      <c r="C21" s="49" t="s">
        <v>45</v>
      </c>
      <c r="D21" s="49" t="s">
        <v>46</v>
      </c>
    </row>
    <row r="22">
      <c r="A22" s="40">
        <v>1.0</v>
      </c>
      <c r="B22" s="41" t="s">
        <v>60</v>
      </c>
      <c r="C22" s="40" t="s">
        <v>48</v>
      </c>
      <c r="D22" s="40"/>
    </row>
    <row r="23">
      <c r="A23" s="40">
        <v>2.0</v>
      </c>
      <c r="B23" s="41" t="s">
        <v>61</v>
      </c>
      <c r="C23" s="40" t="s">
        <v>48</v>
      </c>
      <c r="D23" s="40"/>
    </row>
    <row r="24">
      <c r="A24" s="40">
        <v>3.0</v>
      </c>
      <c r="B24" s="41" t="s">
        <v>62</v>
      </c>
      <c r="C24" s="40" t="s">
        <v>48</v>
      </c>
      <c r="D24" s="40"/>
    </row>
    <row r="25">
      <c r="A25" s="40">
        <v>4.0</v>
      </c>
      <c r="B25" s="41" t="s">
        <v>63</v>
      </c>
      <c r="C25" s="43"/>
      <c r="D25" s="43" t="s">
        <v>64</v>
      </c>
    </row>
    <row r="26">
      <c r="A26" s="40">
        <v>5.0</v>
      </c>
      <c r="B26" s="41" t="s">
        <v>65</v>
      </c>
      <c r="C26" s="40" t="s">
        <v>48</v>
      </c>
      <c r="D26" s="40"/>
    </row>
    <row r="27">
      <c r="A27" s="44" t="s">
        <v>57</v>
      </c>
      <c r="B27" s="10"/>
      <c r="C27" s="17">
        <f>COUNTA('MODELO LISTA DE COMPROBACION CU'!$C$22:$C$26)</f>
        <v>4</v>
      </c>
      <c r="D27" s="17">
        <f>COUNTA('MODELO LISTA DE COMPROBACION CU'!$D$22:$D$26)</f>
        <v>1</v>
      </c>
    </row>
    <row r="28">
      <c r="A28" s="44" t="s">
        <v>58</v>
      </c>
      <c r="B28" s="10"/>
      <c r="C28" s="45">
        <f t="shared" ref="C28:D28" si="2">C27/5</f>
        <v>0.8</v>
      </c>
      <c r="D28" s="45">
        <f t="shared" si="2"/>
        <v>0.2</v>
      </c>
    </row>
    <row r="29" ht="14.25" customHeight="1">
      <c r="A29" s="46"/>
      <c r="B29" s="46"/>
      <c r="C29" s="47"/>
      <c r="D29" s="24"/>
    </row>
    <row r="30">
      <c r="A30" s="38" t="s">
        <v>66</v>
      </c>
      <c r="B30" s="9"/>
      <c r="C30" s="9"/>
      <c r="D30" s="10"/>
    </row>
    <row r="31">
      <c r="A31" s="48" t="s">
        <v>43</v>
      </c>
      <c r="B31" s="48" t="s">
        <v>44</v>
      </c>
      <c r="C31" s="49" t="s">
        <v>45</v>
      </c>
      <c r="D31" s="49" t="s">
        <v>46</v>
      </c>
    </row>
    <row r="32">
      <c r="A32" s="40">
        <v>1.0</v>
      </c>
      <c r="B32" s="41" t="s">
        <v>67</v>
      </c>
      <c r="C32" s="40" t="s">
        <v>48</v>
      </c>
      <c r="D32" s="40"/>
    </row>
    <row r="33">
      <c r="A33" s="40">
        <v>2.0</v>
      </c>
      <c r="B33" s="41" t="s">
        <v>68</v>
      </c>
      <c r="C33" s="40" t="s">
        <v>48</v>
      </c>
      <c r="D33" s="40"/>
    </row>
    <row r="34">
      <c r="A34" s="40">
        <v>3.0</v>
      </c>
      <c r="B34" s="41" t="s">
        <v>69</v>
      </c>
      <c r="C34" s="40" t="s">
        <v>48</v>
      </c>
      <c r="D34" s="40"/>
    </row>
    <row r="35">
      <c r="A35" s="44" t="s">
        <v>57</v>
      </c>
      <c r="B35" s="10"/>
      <c r="C35" s="17">
        <f>COUNTA('MODELO LISTA DE COMPROBACION CU'!$C$32:$C$34)</f>
        <v>3</v>
      </c>
      <c r="D35" s="17">
        <f>COUNTA('MODELO LISTA DE COMPROBACION CU'!$D$32:$D$34)</f>
        <v>0</v>
      </c>
    </row>
    <row r="36">
      <c r="A36" s="44" t="s">
        <v>58</v>
      </c>
      <c r="B36" s="10"/>
      <c r="C36" s="45">
        <f t="shared" ref="C36:D36" si="3">C35/3</f>
        <v>1</v>
      </c>
      <c r="D36" s="45">
        <f t="shared" si="3"/>
        <v>0</v>
      </c>
    </row>
    <row r="37" ht="14.25" customHeight="1"/>
    <row r="38" ht="14.25" customHeight="1"/>
    <row r="39" ht="14.25" customHeight="1"/>
    <row r="40" ht="14.25" customHeight="1">
      <c r="B40" s="50" t="s">
        <v>70</v>
      </c>
      <c r="C40" s="10"/>
    </row>
    <row r="41" ht="30.0" customHeight="1">
      <c r="B41" s="51" t="s">
        <v>71</v>
      </c>
      <c r="C41" s="52">
        <v>89.0</v>
      </c>
    </row>
    <row r="42" ht="30.0" customHeight="1">
      <c r="B42" s="51" t="s">
        <v>59</v>
      </c>
      <c r="C42" s="52">
        <v>80.0</v>
      </c>
    </row>
    <row r="43" ht="30.0" customHeight="1">
      <c r="B43" s="51" t="s">
        <v>66</v>
      </c>
      <c r="C43" s="17">
        <v>100.0</v>
      </c>
    </row>
    <row r="44" ht="14.25" customHeight="1">
      <c r="C44" s="24"/>
    </row>
    <row r="45" ht="14.25" customHeight="1">
      <c r="C45" s="24"/>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B1"/>
    <mergeCell ref="C1:D1"/>
    <mergeCell ref="A2:B2"/>
    <mergeCell ref="C2:D2"/>
    <mergeCell ref="A3:B3"/>
    <mergeCell ref="C3:D3"/>
    <mergeCell ref="A4:B4"/>
    <mergeCell ref="A28:B28"/>
    <mergeCell ref="A35:B35"/>
    <mergeCell ref="A36:B36"/>
    <mergeCell ref="B40:C40"/>
    <mergeCell ref="C4:D4"/>
    <mergeCell ref="A6:D6"/>
    <mergeCell ref="A17:B17"/>
    <mergeCell ref="A18:B18"/>
    <mergeCell ref="A20:D20"/>
    <mergeCell ref="A27:B27"/>
    <mergeCell ref="A30:D30"/>
  </mergeCells>
  <conditionalFormatting sqref="A32:D34">
    <cfRule type="containsText" dxfId="8" priority="1" operator="containsText" text="X">
      <formula>NOT(ISERROR(SEARCH(("X"),(A32))))</formula>
    </cfRule>
  </conditionalFormatting>
  <conditionalFormatting sqref="C8:D16 C22:C26 C32:D34">
    <cfRule type="containsText" dxfId="9" priority="2" operator="containsText" text="X">
      <formula>NOT(ISERROR(SEARCH(("X"),(C8))))</formula>
    </cfRule>
  </conditionalFormatting>
  <conditionalFormatting sqref="C8:D16 C22:C26 C32:D34">
    <cfRule type="containsText" dxfId="10" priority="3" operator="containsText" text="X">
      <formula>NOT(ISERROR(SEARCH(("X"),(C8))))</formula>
    </cfRule>
  </conditionalFormatting>
  <conditionalFormatting sqref="C8:D16 C22:C26 C32:D34">
    <cfRule type="containsText" dxfId="11" priority="4" operator="containsText" text="X">
      <formula>NOT(ISERROR(SEARCH(("X"),(C8))))</formula>
    </cfRule>
  </conditionalFormatting>
  <conditionalFormatting sqref="C8:D16 C22:C26 C32:D34">
    <cfRule type="containsText" dxfId="12" priority="5" operator="containsText" text="X">
      <formula>NOT(ISERROR(SEARCH(("X"),(C8))))</formula>
    </cfRule>
  </conditionalFormatting>
  <conditionalFormatting sqref="C22:D26">
    <cfRule type="containsText" dxfId="9" priority="6" operator="containsText" text="X">
      <formula>NOT(ISERROR(SEARCH(("X"),(C22))))</formula>
    </cfRule>
  </conditionalFormatting>
  <conditionalFormatting sqref="C22:D26">
    <cfRule type="containsText" dxfId="10" priority="7" operator="containsText" text="X">
      <formula>NOT(ISERROR(SEARCH(("X"),(C22))))</formula>
    </cfRule>
  </conditionalFormatting>
  <conditionalFormatting sqref="C32:D34">
    <cfRule type="containsText" dxfId="9" priority="8" operator="containsText" text="X">
      <formula>NOT(ISERROR(SEARCH(("X"),(C32))))</formula>
    </cfRule>
  </conditionalFormatting>
  <printOptions/>
  <pageMargins bottom="0.75" footer="0.0" header="0.0" left="0.7" right="0.7" top="0.75"/>
  <pageSetup paperSize="9" orientation="portrait"/>
  <drawing r:id="rId2"/>
  <legacyDrawing r:id="rId3"/>
  <tableParts count="3">
    <tablePart r:id="rId7"/>
    <tablePart r:id="rId8"/>
    <tablePart r:id="rId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6.71"/>
    <col customWidth="1" min="3" max="3" width="16.14"/>
    <col customWidth="1" min="4" max="4" width="22.0"/>
    <col customWidth="1" min="5" max="6" width="10.71"/>
    <col customWidth="1" min="7" max="7" width="36.71"/>
    <col customWidth="1" min="8" max="8" width="20.57"/>
    <col customWidth="1" min="9" max="9" width="21.86"/>
    <col customWidth="1" min="10" max="11" width="10.71"/>
    <col customWidth="1" min="12" max="12" width="36.71"/>
    <col customWidth="1" min="13" max="13" width="20.57"/>
    <col customWidth="1" min="14" max="14" width="21.57"/>
    <col customWidth="1" min="15" max="24" width="10.71"/>
  </cols>
  <sheetData>
    <row r="1">
      <c r="A1" s="32" t="s">
        <v>1</v>
      </c>
      <c r="B1" s="10"/>
      <c r="C1" s="33" t="s">
        <v>2</v>
      </c>
      <c r="D1" s="10"/>
      <c r="E1" s="34"/>
      <c r="O1" s="34"/>
      <c r="P1" s="34"/>
      <c r="Q1" s="34"/>
      <c r="R1" s="34"/>
      <c r="S1" s="34"/>
      <c r="T1" s="34"/>
      <c r="U1" s="34"/>
      <c r="V1" s="34"/>
      <c r="W1" s="34"/>
      <c r="X1" s="34"/>
      <c r="Y1" s="34"/>
      <c r="Z1" s="34"/>
    </row>
    <row r="2">
      <c r="A2" s="35" t="s">
        <v>37</v>
      </c>
      <c r="B2" s="10"/>
      <c r="C2" s="36">
        <v>46126.0</v>
      </c>
      <c r="D2" s="10"/>
    </row>
    <row r="3">
      <c r="A3" s="35" t="s">
        <v>38</v>
      </c>
      <c r="B3" s="10"/>
      <c r="C3" s="37" t="s">
        <v>72</v>
      </c>
      <c r="D3" s="10"/>
    </row>
    <row r="4">
      <c r="A4" s="35" t="s">
        <v>40</v>
      </c>
      <c r="B4" s="10"/>
      <c r="C4" s="37" t="s">
        <v>8</v>
      </c>
      <c r="D4" s="10"/>
    </row>
    <row r="5" ht="14.25" customHeight="1"/>
    <row r="6">
      <c r="A6" s="38" t="s">
        <v>42</v>
      </c>
      <c r="B6" s="9"/>
      <c r="C6" s="9"/>
      <c r="D6" s="10"/>
    </row>
    <row r="7">
      <c r="A7" s="39" t="s">
        <v>43</v>
      </c>
      <c r="B7" s="39" t="s">
        <v>44</v>
      </c>
      <c r="C7" s="39" t="s">
        <v>45</v>
      </c>
      <c r="D7" s="39" t="s">
        <v>46</v>
      </c>
    </row>
    <row r="8">
      <c r="A8" s="40">
        <v>1.0</v>
      </c>
      <c r="B8" s="41" t="s">
        <v>47</v>
      </c>
      <c r="C8" s="40" t="s">
        <v>48</v>
      </c>
      <c r="D8" s="40"/>
    </row>
    <row r="9">
      <c r="A9" s="40">
        <v>2.0</v>
      </c>
      <c r="B9" s="41" t="s">
        <v>49</v>
      </c>
      <c r="C9" s="40" t="s">
        <v>48</v>
      </c>
      <c r="D9" s="40"/>
    </row>
    <row r="10">
      <c r="A10" s="40">
        <v>3.0</v>
      </c>
      <c r="B10" s="41" t="s">
        <v>50</v>
      </c>
      <c r="C10" s="40"/>
      <c r="D10" s="42" t="s">
        <v>48</v>
      </c>
    </row>
    <row r="11">
      <c r="A11" s="40">
        <v>4.0</v>
      </c>
      <c r="B11" s="41" t="s">
        <v>51</v>
      </c>
      <c r="C11" s="40" t="s">
        <v>48</v>
      </c>
      <c r="D11" s="40"/>
    </row>
    <row r="12">
      <c r="A12" s="40">
        <v>5.0</v>
      </c>
      <c r="B12" s="41" t="s">
        <v>52</v>
      </c>
      <c r="C12" s="40" t="s">
        <v>48</v>
      </c>
      <c r="D12" s="40"/>
    </row>
    <row r="13">
      <c r="A13" s="40">
        <v>6.0</v>
      </c>
      <c r="B13" s="41" t="s">
        <v>53</v>
      </c>
      <c r="C13" s="40" t="s">
        <v>48</v>
      </c>
      <c r="D13" s="40"/>
    </row>
    <row r="14">
      <c r="A14" s="40">
        <v>7.0</v>
      </c>
      <c r="B14" s="41" t="s">
        <v>54</v>
      </c>
      <c r="C14" s="40" t="s">
        <v>48</v>
      </c>
      <c r="D14" s="40"/>
    </row>
    <row r="15">
      <c r="A15" s="40">
        <v>8.0</v>
      </c>
      <c r="B15" s="41" t="s">
        <v>55</v>
      </c>
      <c r="C15" s="40" t="s">
        <v>48</v>
      </c>
      <c r="D15" s="40"/>
    </row>
    <row r="16">
      <c r="A16" s="40">
        <v>9.0</v>
      </c>
      <c r="B16" s="41" t="s">
        <v>56</v>
      </c>
      <c r="C16" s="43"/>
      <c r="D16" s="43" t="s">
        <v>64</v>
      </c>
    </row>
    <row r="17">
      <c r="A17" s="44" t="s">
        <v>57</v>
      </c>
      <c r="B17" s="10"/>
      <c r="C17" s="52">
        <v>7.0</v>
      </c>
      <c r="D17" s="52">
        <v>2.0</v>
      </c>
    </row>
    <row r="18">
      <c r="A18" s="44" t="s">
        <v>58</v>
      </c>
      <c r="B18" s="10"/>
      <c r="C18" s="45">
        <f t="shared" ref="C18:D18" si="1">C17/9</f>
        <v>0.7777777778</v>
      </c>
      <c r="D18" s="45">
        <f t="shared" si="1"/>
        <v>0.2222222222</v>
      </c>
    </row>
    <row r="19" ht="14.25" customHeight="1">
      <c r="A19" s="46"/>
      <c r="B19" s="46"/>
      <c r="C19" s="47"/>
      <c r="D19" s="24"/>
    </row>
    <row r="20">
      <c r="A20" s="38" t="s">
        <v>59</v>
      </c>
      <c r="B20" s="9"/>
      <c r="C20" s="9"/>
      <c r="D20" s="10"/>
    </row>
    <row r="21">
      <c r="A21" s="48" t="s">
        <v>43</v>
      </c>
      <c r="B21" s="48" t="s">
        <v>44</v>
      </c>
      <c r="C21" s="49" t="s">
        <v>45</v>
      </c>
      <c r="D21" s="49" t="s">
        <v>46</v>
      </c>
    </row>
    <row r="22">
      <c r="A22" s="40">
        <v>1.0</v>
      </c>
      <c r="B22" s="41" t="s">
        <v>60</v>
      </c>
      <c r="C22" s="40" t="s">
        <v>48</v>
      </c>
      <c r="D22" s="40"/>
    </row>
    <row r="23">
      <c r="A23" s="40">
        <v>2.0</v>
      </c>
      <c r="B23" s="41" t="s">
        <v>61</v>
      </c>
      <c r="C23" s="40" t="s">
        <v>48</v>
      </c>
      <c r="D23" s="40"/>
    </row>
    <row r="24">
      <c r="A24" s="40">
        <v>3.0</v>
      </c>
      <c r="B24" s="41" t="s">
        <v>62</v>
      </c>
      <c r="C24" s="40" t="s">
        <v>48</v>
      </c>
      <c r="D24" s="40"/>
    </row>
    <row r="25">
      <c r="A25" s="40">
        <v>4.0</v>
      </c>
      <c r="B25" s="41" t="s">
        <v>63</v>
      </c>
      <c r="C25" s="40" t="s">
        <v>48</v>
      </c>
      <c r="D25" s="40"/>
    </row>
    <row r="26">
      <c r="A26" s="40">
        <v>5.0</v>
      </c>
      <c r="B26" s="41" t="s">
        <v>65</v>
      </c>
      <c r="C26" s="40" t="s">
        <v>48</v>
      </c>
      <c r="D26" s="40"/>
    </row>
    <row r="27">
      <c r="A27" s="44" t="s">
        <v>57</v>
      </c>
      <c r="B27" s="10"/>
      <c r="C27" s="17">
        <f t="shared" ref="C27:D27" si="2">COUNTA(#REF!)</f>
        <v>1</v>
      </c>
      <c r="D27" s="17">
        <f t="shared" si="2"/>
        <v>1</v>
      </c>
    </row>
    <row r="28">
      <c r="A28" s="44" t="s">
        <v>58</v>
      </c>
      <c r="B28" s="10"/>
      <c r="C28" s="45">
        <f t="shared" ref="C28:D28" si="3">C27/5</f>
        <v>0.2</v>
      </c>
      <c r="D28" s="45">
        <f t="shared" si="3"/>
        <v>0.2</v>
      </c>
    </row>
    <row r="29" ht="14.25" customHeight="1">
      <c r="A29" s="46"/>
      <c r="B29" s="46"/>
      <c r="C29" s="47"/>
      <c r="D29" s="24"/>
    </row>
    <row r="30">
      <c r="A30" s="38" t="s">
        <v>66</v>
      </c>
      <c r="B30" s="9"/>
      <c r="C30" s="9"/>
      <c r="D30" s="10"/>
    </row>
    <row r="31">
      <c r="A31" s="48" t="s">
        <v>43</v>
      </c>
      <c r="B31" s="48" t="s">
        <v>44</v>
      </c>
      <c r="C31" s="49" t="s">
        <v>45</v>
      </c>
      <c r="D31" s="49" t="s">
        <v>46</v>
      </c>
    </row>
    <row r="32">
      <c r="A32" s="40">
        <v>1.0</v>
      </c>
      <c r="B32" s="41" t="s">
        <v>67</v>
      </c>
      <c r="C32" s="40" t="s">
        <v>48</v>
      </c>
      <c r="D32" s="40"/>
    </row>
    <row r="33">
      <c r="A33" s="40">
        <v>2.0</v>
      </c>
      <c r="B33" s="41" t="s">
        <v>68</v>
      </c>
      <c r="C33" s="40" t="s">
        <v>48</v>
      </c>
      <c r="D33" s="40"/>
    </row>
    <row r="34">
      <c r="A34" s="40">
        <v>3.0</v>
      </c>
      <c r="B34" s="41" t="s">
        <v>69</v>
      </c>
      <c r="C34" s="40" t="s">
        <v>48</v>
      </c>
      <c r="D34" s="40"/>
    </row>
    <row r="35">
      <c r="A35" s="44" t="s">
        <v>57</v>
      </c>
      <c r="B35" s="10"/>
      <c r="C35" s="17">
        <f t="shared" ref="C35:D35" si="4">COUNTA(#REF!)</f>
        <v>1</v>
      </c>
      <c r="D35" s="17">
        <f t="shared" si="4"/>
        <v>1</v>
      </c>
    </row>
    <row r="36">
      <c r="A36" s="44" t="s">
        <v>58</v>
      </c>
      <c r="B36" s="10"/>
      <c r="C36" s="45">
        <f t="shared" ref="C36:D36" si="5">C35/3</f>
        <v>0.3333333333</v>
      </c>
      <c r="D36" s="45">
        <f t="shared" si="5"/>
        <v>0.3333333333</v>
      </c>
    </row>
    <row r="37" ht="14.25" customHeight="1"/>
    <row r="38" ht="14.25" customHeight="1"/>
    <row r="39" ht="14.25" customHeight="1"/>
    <row r="40" ht="14.25" customHeight="1">
      <c r="B40" s="50" t="s">
        <v>70</v>
      </c>
      <c r="C40" s="10"/>
      <c r="D40" s="53"/>
    </row>
    <row r="41" ht="30.0" customHeight="1">
      <c r="B41" s="51" t="s">
        <v>71</v>
      </c>
      <c r="C41" s="52">
        <v>78.0</v>
      </c>
      <c r="D41" s="54"/>
    </row>
    <row r="42" ht="30.0" customHeight="1">
      <c r="B42" s="51" t="s">
        <v>59</v>
      </c>
      <c r="C42" s="52">
        <v>100.0</v>
      </c>
      <c r="D42" s="54"/>
    </row>
    <row r="43" ht="30.0" customHeight="1">
      <c r="B43" s="51" t="s">
        <v>66</v>
      </c>
      <c r="C43" s="17">
        <v>100.0</v>
      </c>
      <c r="D43" s="24"/>
    </row>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B1"/>
    <mergeCell ref="C1:D1"/>
    <mergeCell ref="A2:B2"/>
    <mergeCell ref="C2:D2"/>
    <mergeCell ref="A3:B3"/>
    <mergeCell ref="C3:D3"/>
    <mergeCell ref="A4:B4"/>
    <mergeCell ref="A28:B28"/>
    <mergeCell ref="A35:B35"/>
    <mergeCell ref="A36:B36"/>
    <mergeCell ref="B40:C40"/>
    <mergeCell ref="C4:D4"/>
    <mergeCell ref="A6:D6"/>
    <mergeCell ref="A17:B17"/>
    <mergeCell ref="A18:B18"/>
    <mergeCell ref="A20:D20"/>
    <mergeCell ref="A27:B27"/>
    <mergeCell ref="A30:D30"/>
  </mergeCells>
  <conditionalFormatting sqref="A32:D34 F32:I34 K32:N34">
    <cfRule type="containsText" dxfId="8" priority="1" operator="containsText" text="X">
      <formula>NOT(ISERROR(SEARCH(("X"),(A32))))</formula>
    </cfRule>
  </conditionalFormatting>
  <conditionalFormatting sqref="C8:D16 H8:I16 M8:N16 C22:C26 H22:H26 M22:M26 C32:D34 H32:I34 M32:N34">
    <cfRule type="containsText" dxfId="9" priority="2" operator="containsText" text="X">
      <formula>NOT(ISERROR(SEARCH(("X"),(C8))))</formula>
    </cfRule>
  </conditionalFormatting>
  <conditionalFormatting sqref="C8:D16 H8:I16 M8:N16 C22:C26 H22:H26 M22:M26 C32:D34 H32:I34 M32:N34">
    <cfRule type="containsText" dxfId="10" priority="3" operator="containsText" text="X">
      <formula>NOT(ISERROR(SEARCH(("X"),(C8))))</formula>
    </cfRule>
  </conditionalFormatting>
  <conditionalFormatting sqref="C8:D16 H8:I16 M8:N16 C22:C26 H22:H26 M22:M26 C32:D34 H32:I34 M32:N34">
    <cfRule type="containsText" dxfId="11" priority="4" operator="containsText" text="X">
      <formula>NOT(ISERROR(SEARCH(("X"),(C8))))</formula>
    </cfRule>
  </conditionalFormatting>
  <conditionalFormatting sqref="C8:D16 H8:I16 M8:N16 C22:C26 H22:H26 M22:M26 C32:D34 H32:I34 M32:N34">
    <cfRule type="containsText" dxfId="12" priority="5" operator="containsText" text="X">
      <formula>NOT(ISERROR(SEARCH(("X"),(C8))))</formula>
    </cfRule>
  </conditionalFormatting>
  <conditionalFormatting sqref="C22:D26 H22:I26 M22:N26">
    <cfRule type="containsText" dxfId="9" priority="6" operator="containsText" text="X">
      <formula>NOT(ISERROR(SEARCH(("X"),(C22))))</formula>
    </cfRule>
  </conditionalFormatting>
  <conditionalFormatting sqref="C22:D26 H22:I26 M22:N26">
    <cfRule type="containsText" dxfId="10" priority="7" operator="containsText" text="X">
      <formula>NOT(ISERROR(SEARCH(("X"),(C22))))</formula>
    </cfRule>
  </conditionalFormatting>
  <conditionalFormatting sqref="C32:D34 H32:I34 M32:N34">
    <cfRule type="containsText" dxfId="9" priority="8" operator="containsText" text="X">
      <formula>NOT(ISERROR(SEARCH(("X"),(C32))))</formula>
    </cfRule>
  </conditionalFormatting>
  <printOptions/>
  <pageMargins bottom="0.75" footer="0.0" header="0.0" left="0.7" right="0.7" top="0.75"/>
  <pageSetup paperSize="9" orientation="portrait"/>
  <drawing r:id="rId1"/>
  <tableParts count="3">
    <tablePart r:id="rId5"/>
    <tablePart r:id="rId6"/>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6.71"/>
    <col customWidth="1" min="3" max="3" width="16.14"/>
    <col customWidth="1" min="4" max="4" width="25.86"/>
    <col customWidth="1" min="5" max="6" width="10.71"/>
    <col customWidth="1" min="7" max="7" width="36.71"/>
    <col customWidth="1" min="8" max="8" width="20.57"/>
    <col customWidth="1" min="9" max="9" width="21.86"/>
    <col customWidth="1" min="10" max="11" width="10.71"/>
    <col customWidth="1" min="12" max="12" width="36.71"/>
    <col customWidth="1" min="13" max="13" width="20.57"/>
    <col customWidth="1" min="14" max="14" width="21.57"/>
    <col customWidth="1" min="15" max="24" width="10.71"/>
  </cols>
  <sheetData>
    <row r="1">
      <c r="A1" s="32" t="s">
        <v>1</v>
      </c>
      <c r="B1" s="10"/>
      <c r="C1" s="33" t="s">
        <v>2</v>
      </c>
      <c r="D1" s="10"/>
      <c r="E1" s="34"/>
      <c r="J1" s="34"/>
      <c r="O1" s="34"/>
      <c r="P1" s="34"/>
      <c r="Q1" s="34"/>
      <c r="R1" s="34"/>
      <c r="S1" s="34"/>
      <c r="T1" s="34"/>
      <c r="U1" s="34"/>
      <c r="V1" s="34"/>
      <c r="W1" s="34"/>
      <c r="X1" s="34"/>
      <c r="Y1" s="34"/>
      <c r="Z1" s="34"/>
    </row>
    <row r="2">
      <c r="A2" s="35" t="s">
        <v>37</v>
      </c>
      <c r="B2" s="10"/>
      <c r="C2" s="36">
        <v>46126.0</v>
      </c>
      <c r="D2" s="10"/>
    </row>
    <row r="3">
      <c r="A3" s="35" t="s">
        <v>38</v>
      </c>
      <c r="B3" s="10"/>
      <c r="C3" s="37" t="s">
        <v>73</v>
      </c>
      <c r="D3" s="10"/>
    </row>
    <row r="4">
      <c r="A4" s="35" t="s">
        <v>40</v>
      </c>
      <c r="B4" s="10"/>
      <c r="C4" s="37" t="s">
        <v>9</v>
      </c>
      <c r="D4" s="10"/>
    </row>
    <row r="5" ht="14.25" customHeight="1"/>
    <row r="6">
      <c r="A6" s="38" t="s">
        <v>42</v>
      </c>
      <c r="B6" s="9"/>
      <c r="C6" s="9"/>
      <c r="D6" s="10"/>
    </row>
    <row r="7">
      <c r="A7" s="39" t="s">
        <v>43</v>
      </c>
      <c r="B7" s="39" t="s">
        <v>44</v>
      </c>
      <c r="C7" s="39" t="s">
        <v>45</v>
      </c>
      <c r="D7" s="39" t="s">
        <v>46</v>
      </c>
    </row>
    <row r="8">
      <c r="A8" s="40">
        <v>1.0</v>
      </c>
      <c r="B8" s="41" t="s">
        <v>47</v>
      </c>
      <c r="C8" s="40" t="s">
        <v>48</v>
      </c>
      <c r="D8" s="40"/>
    </row>
    <row r="9">
      <c r="A9" s="40">
        <v>2.0</v>
      </c>
      <c r="B9" s="41" t="s">
        <v>49</v>
      </c>
      <c r="C9" s="40" t="s">
        <v>48</v>
      </c>
      <c r="D9" s="40"/>
    </row>
    <row r="10">
      <c r="A10" s="40">
        <v>3.0</v>
      </c>
      <c r="B10" s="41" t="s">
        <v>50</v>
      </c>
      <c r="D10" s="42" t="s">
        <v>48</v>
      </c>
    </row>
    <row r="11">
      <c r="A11" s="40">
        <v>4.0</v>
      </c>
      <c r="B11" s="41" t="s">
        <v>51</v>
      </c>
      <c r="C11" s="40" t="s">
        <v>48</v>
      </c>
      <c r="D11" s="40"/>
    </row>
    <row r="12">
      <c r="A12" s="40">
        <v>5.0</v>
      </c>
      <c r="B12" s="41" t="s">
        <v>52</v>
      </c>
      <c r="C12" s="40" t="s">
        <v>48</v>
      </c>
      <c r="D12" s="40"/>
    </row>
    <row r="13">
      <c r="A13" s="40">
        <v>6.0</v>
      </c>
      <c r="B13" s="41" t="s">
        <v>53</v>
      </c>
      <c r="C13" s="40" t="s">
        <v>48</v>
      </c>
      <c r="D13" s="40"/>
    </row>
    <row r="14">
      <c r="A14" s="40">
        <v>7.0</v>
      </c>
      <c r="B14" s="41" t="s">
        <v>54</v>
      </c>
      <c r="C14" s="40" t="s">
        <v>48</v>
      </c>
      <c r="D14" s="40"/>
    </row>
    <row r="15">
      <c r="A15" s="40">
        <v>8.0</v>
      </c>
      <c r="B15" s="41" t="s">
        <v>55</v>
      </c>
      <c r="C15" s="40" t="s">
        <v>48</v>
      </c>
      <c r="D15" s="40"/>
    </row>
    <row r="16">
      <c r="A16" s="40">
        <v>9.0</v>
      </c>
      <c r="B16" s="41" t="s">
        <v>56</v>
      </c>
      <c r="C16" s="43" t="s">
        <v>48</v>
      </c>
      <c r="D16" s="43"/>
    </row>
    <row r="17">
      <c r="A17" s="44" t="s">
        <v>57</v>
      </c>
      <c r="B17" s="10"/>
      <c r="C17" s="17">
        <f>COUNTA('Hoja 2'!$C$8:$C$16)</f>
        <v>8</v>
      </c>
      <c r="D17" s="17">
        <f>COUNTA('Hoja 2'!$D$8:$D$16)</f>
        <v>1</v>
      </c>
    </row>
    <row r="18">
      <c r="A18" s="44" t="s">
        <v>58</v>
      </c>
      <c r="B18" s="10"/>
      <c r="C18" s="45">
        <f t="shared" ref="C18:D18" si="1">C17/9</f>
        <v>0.8888888889</v>
      </c>
      <c r="D18" s="45">
        <f t="shared" si="1"/>
        <v>0.1111111111</v>
      </c>
    </row>
    <row r="19" ht="14.25" customHeight="1">
      <c r="A19" s="46"/>
      <c r="B19" s="46"/>
      <c r="C19" s="47"/>
      <c r="D19" s="24"/>
    </row>
    <row r="20">
      <c r="A20" s="38" t="s">
        <v>59</v>
      </c>
      <c r="B20" s="9"/>
      <c r="C20" s="9"/>
      <c r="D20" s="10"/>
    </row>
    <row r="21">
      <c r="A21" s="48" t="s">
        <v>43</v>
      </c>
      <c r="B21" s="48" t="s">
        <v>44</v>
      </c>
      <c r="C21" s="49" t="s">
        <v>45</v>
      </c>
      <c r="D21" s="49" t="s">
        <v>46</v>
      </c>
    </row>
    <row r="22">
      <c r="A22" s="40">
        <v>1.0</v>
      </c>
      <c r="B22" s="41" t="s">
        <v>60</v>
      </c>
      <c r="C22" s="40" t="s">
        <v>48</v>
      </c>
      <c r="D22" s="40"/>
    </row>
    <row r="23">
      <c r="A23" s="40">
        <v>2.0</v>
      </c>
      <c r="B23" s="41" t="s">
        <v>61</v>
      </c>
      <c r="C23" s="40" t="s">
        <v>48</v>
      </c>
      <c r="D23" s="40"/>
    </row>
    <row r="24">
      <c r="A24" s="40">
        <v>3.0</v>
      </c>
      <c r="B24" s="41" t="s">
        <v>62</v>
      </c>
      <c r="C24" s="40" t="s">
        <v>48</v>
      </c>
      <c r="D24" s="40"/>
    </row>
    <row r="25">
      <c r="A25" s="40">
        <v>4.0</v>
      </c>
      <c r="B25" s="41" t="s">
        <v>63</v>
      </c>
      <c r="C25" s="40" t="s">
        <v>48</v>
      </c>
      <c r="D25" s="40"/>
    </row>
    <row r="26">
      <c r="A26" s="40">
        <v>5.0</v>
      </c>
      <c r="B26" s="41" t="s">
        <v>65</v>
      </c>
      <c r="C26" s="40" t="s">
        <v>48</v>
      </c>
      <c r="D26" s="40"/>
    </row>
    <row r="27">
      <c r="A27" s="44" t="s">
        <v>57</v>
      </c>
      <c r="B27" s="10"/>
      <c r="C27" s="52">
        <v>5.0</v>
      </c>
      <c r="D27" s="52">
        <v>0.0</v>
      </c>
    </row>
    <row r="28">
      <c r="A28" s="44" t="s">
        <v>58</v>
      </c>
      <c r="B28" s="10"/>
      <c r="C28" s="45">
        <f t="shared" ref="C28:D28" si="2">C27/5</f>
        <v>1</v>
      </c>
      <c r="D28" s="45">
        <f t="shared" si="2"/>
        <v>0</v>
      </c>
    </row>
    <row r="29" ht="14.25" customHeight="1">
      <c r="A29" s="46"/>
      <c r="B29" s="46"/>
      <c r="C29" s="47"/>
      <c r="D29" s="24"/>
    </row>
    <row r="30">
      <c r="A30" s="38" t="s">
        <v>66</v>
      </c>
      <c r="B30" s="9"/>
      <c r="C30" s="9"/>
      <c r="D30" s="10"/>
    </row>
    <row r="31">
      <c r="A31" s="48" t="s">
        <v>43</v>
      </c>
      <c r="B31" s="48" t="s">
        <v>44</v>
      </c>
      <c r="C31" s="49" t="s">
        <v>45</v>
      </c>
      <c r="D31" s="49" t="s">
        <v>46</v>
      </c>
    </row>
    <row r="32">
      <c r="A32" s="40">
        <v>1.0</v>
      </c>
      <c r="B32" s="41" t="s">
        <v>67</v>
      </c>
      <c r="C32" s="40" t="s">
        <v>48</v>
      </c>
      <c r="D32" s="40"/>
    </row>
    <row r="33">
      <c r="A33" s="40">
        <v>2.0</v>
      </c>
      <c r="B33" s="41" t="s">
        <v>68</v>
      </c>
      <c r="C33" s="40" t="s">
        <v>48</v>
      </c>
      <c r="D33" s="40"/>
    </row>
    <row r="34">
      <c r="A34" s="40">
        <v>3.0</v>
      </c>
      <c r="B34" s="41" t="s">
        <v>69</v>
      </c>
      <c r="C34" s="40" t="s">
        <v>48</v>
      </c>
      <c r="D34" s="40"/>
    </row>
    <row r="35">
      <c r="A35" s="44" t="s">
        <v>57</v>
      </c>
      <c r="B35" s="10"/>
      <c r="C35" s="52">
        <v>3.0</v>
      </c>
      <c r="D35" s="52">
        <v>0.0</v>
      </c>
    </row>
    <row r="36">
      <c r="A36" s="44" t="s">
        <v>58</v>
      </c>
      <c r="B36" s="10"/>
      <c r="C36" s="45">
        <f t="shared" ref="C36:D36" si="3">C35/3</f>
        <v>1</v>
      </c>
      <c r="D36" s="45">
        <f t="shared" si="3"/>
        <v>0</v>
      </c>
    </row>
    <row r="37" ht="14.25" customHeight="1"/>
    <row r="38" ht="14.25" customHeight="1"/>
    <row r="39" ht="14.25" customHeight="1"/>
    <row r="40" ht="14.25" customHeight="1">
      <c r="B40" s="50" t="s">
        <v>70</v>
      </c>
      <c r="C40" s="10"/>
      <c r="D40" s="53"/>
    </row>
    <row r="41" ht="30.0" customHeight="1">
      <c r="B41" s="51" t="s">
        <v>71</v>
      </c>
      <c r="C41" s="52">
        <v>89.0</v>
      </c>
      <c r="D41" s="54"/>
    </row>
    <row r="42" ht="30.0" customHeight="1">
      <c r="B42" s="51" t="s">
        <v>59</v>
      </c>
      <c r="C42" s="52">
        <v>100.0</v>
      </c>
      <c r="D42" s="54"/>
    </row>
    <row r="43" ht="30.0" customHeight="1">
      <c r="B43" s="51" t="s">
        <v>66</v>
      </c>
      <c r="C43" s="17">
        <v>100.0</v>
      </c>
      <c r="D43" s="24"/>
    </row>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B1"/>
    <mergeCell ref="C1:D1"/>
    <mergeCell ref="A2:B2"/>
    <mergeCell ref="C2:D2"/>
    <mergeCell ref="A3:B3"/>
    <mergeCell ref="C3:D3"/>
    <mergeCell ref="A4:B4"/>
    <mergeCell ref="A28:B28"/>
    <mergeCell ref="A35:B35"/>
    <mergeCell ref="A36:B36"/>
    <mergeCell ref="B40:C40"/>
    <mergeCell ref="C4:D4"/>
    <mergeCell ref="A6:D6"/>
    <mergeCell ref="A17:B17"/>
    <mergeCell ref="A18:B18"/>
    <mergeCell ref="A20:D20"/>
    <mergeCell ref="A27:B27"/>
    <mergeCell ref="A30:D30"/>
  </mergeCells>
  <conditionalFormatting sqref="A32:D34 F32:I34 K32:N34">
    <cfRule type="containsText" dxfId="8" priority="1" operator="containsText" text="X">
      <formula>NOT(ISERROR(SEARCH(("X"),(A32))))</formula>
    </cfRule>
  </conditionalFormatting>
  <conditionalFormatting sqref="C8:D16 H8:I16 M8:N16 C22:C26 H22:H26 M22:M26 C32:D34 H32:I34 M32:N34">
    <cfRule type="containsText" dxfId="9" priority="2" operator="containsText" text="X">
      <formula>NOT(ISERROR(SEARCH(("X"),(C8))))</formula>
    </cfRule>
  </conditionalFormatting>
  <conditionalFormatting sqref="C8:D16 H8:I16 M8:N16 C22:C26 H22:H26 M22:M26 C32:D34 H32:I34 M32:N34">
    <cfRule type="containsText" dxfId="10" priority="3" operator="containsText" text="X">
      <formula>NOT(ISERROR(SEARCH(("X"),(C8))))</formula>
    </cfRule>
  </conditionalFormatting>
  <conditionalFormatting sqref="C8:D16 H8:I16 M8:N16 C22:C26 H22:H26 M22:M26 C32:D34 H32:I34 M32:N34">
    <cfRule type="containsText" dxfId="11" priority="4" operator="containsText" text="X">
      <formula>NOT(ISERROR(SEARCH(("X"),(C8))))</formula>
    </cfRule>
  </conditionalFormatting>
  <conditionalFormatting sqref="C8:D16 H8:I16 M8:N16 C22:C26 H22:H26 M22:M26 C32:D34 H32:I34 M32:N34">
    <cfRule type="containsText" dxfId="12" priority="5" operator="containsText" text="X">
      <formula>NOT(ISERROR(SEARCH(("X"),(C8))))</formula>
    </cfRule>
  </conditionalFormatting>
  <conditionalFormatting sqref="C22:D26 H22:I26 M22:N26">
    <cfRule type="containsText" dxfId="9" priority="6" operator="containsText" text="X">
      <formula>NOT(ISERROR(SEARCH(("X"),(C22))))</formula>
    </cfRule>
  </conditionalFormatting>
  <conditionalFormatting sqref="C22:D26 H22:I26 M22:N26">
    <cfRule type="containsText" dxfId="10" priority="7" operator="containsText" text="X">
      <formula>NOT(ISERROR(SEARCH(("X"),(C22))))</formula>
    </cfRule>
  </conditionalFormatting>
  <conditionalFormatting sqref="C32:D34 H32:I34 M32:N34">
    <cfRule type="containsText" dxfId="9" priority="8" operator="containsText" text="X">
      <formula>NOT(ISERROR(SEARCH(("X"),(C32))))</formula>
    </cfRule>
  </conditionalFormatting>
  <printOptions/>
  <pageMargins bottom="0.75" footer="0.0" header="0.0" left="0.7" right="0.7" top="0.75"/>
  <pageSetup paperSize="9" orientation="portrait"/>
  <drawing r:id="rId1"/>
  <tableParts count="3">
    <tablePart r:id="rId5"/>
    <tablePart r:id="rId6"/>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3.14"/>
    <col customWidth="1" min="2" max="2" width="57.29"/>
    <col customWidth="1" min="3" max="3" width="9.14"/>
    <col customWidth="1" min="4" max="4" width="6.71"/>
    <col customWidth="1" min="5" max="5" width="7.14"/>
    <col customWidth="1" min="6" max="6" width="7.29"/>
    <col customWidth="1" min="7" max="7" width="7.14"/>
    <col customWidth="1" min="8" max="8" width="9.43"/>
    <col customWidth="1" min="9" max="9" width="8.57"/>
    <col customWidth="1" min="10" max="10" width="13.57"/>
  </cols>
  <sheetData>
    <row r="1" ht="14.25" customHeight="1">
      <c r="A1" s="55" t="s">
        <v>74</v>
      </c>
    </row>
    <row r="2" ht="14.25" customHeight="1">
      <c r="A2" s="56" t="s">
        <v>75</v>
      </c>
      <c r="B2" s="56" t="s">
        <v>76</v>
      </c>
    </row>
    <row r="3">
      <c r="A3" s="57" t="s">
        <v>77</v>
      </c>
      <c r="B3" s="57" t="s">
        <v>78</v>
      </c>
    </row>
    <row r="4" ht="14.25" customHeight="1"/>
    <row r="5" ht="14.25" customHeight="1">
      <c r="A5" s="55" t="s">
        <v>79</v>
      </c>
    </row>
    <row r="6" ht="14.25" customHeight="1">
      <c r="A6" s="58" t="s">
        <v>75</v>
      </c>
      <c r="B6" s="59" t="s">
        <v>76</v>
      </c>
    </row>
    <row r="7">
      <c r="A7" s="60" t="s">
        <v>80</v>
      </c>
      <c r="B7" s="57" t="s">
        <v>81</v>
      </c>
    </row>
    <row r="8">
      <c r="A8" s="17" t="s">
        <v>82</v>
      </c>
      <c r="B8" s="57" t="s">
        <v>83</v>
      </c>
    </row>
    <row r="9" ht="14.25" customHeight="1"/>
    <row r="10" ht="14.25" customHeight="1"/>
    <row r="11" ht="14.25" customHeight="1">
      <c r="A11" s="55" t="s">
        <v>9</v>
      </c>
    </row>
    <row r="12">
      <c r="A12" s="56" t="s">
        <v>75</v>
      </c>
      <c r="B12" s="56" t="s">
        <v>76</v>
      </c>
    </row>
    <row r="13">
      <c r="A13" s="57" t="s">
        <v>84</v>
      </c>
      <c r="B13" s="57" t="s">
        <v>85</v>
      </c>
    </row>
    <row r="14">
      <c r="A14" s="52" t="s">
        <v>86</v>
      </c>
      <c r="B14" s="57" t="s">
        <v>87</v>
      </c>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5:B5"/>
    <mergeCell ref="A11:B1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2026-04-14T13:46:44Z</dcterms:created>
  <dc:creator>DYNABOOK</dc:creator>
</cp:coreProperties>
</file>